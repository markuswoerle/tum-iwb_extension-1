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rkuswoerle/Desktop/Outlook_1/Data/"/>
    </mc:Choice>
  </mc:AlternateContent>
  <xr:revisionPtr revIDLastSave="0" documentId="13_ncr:1_{0B08EA18-6F55-0B43-A6FD-3177E80CC9AD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K9" i="1" l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K38" i="1"/>
  <c r="L38" i="1" s="1"/>
  <c r="M38" i="1" s="1"/>
  <c r="K39" i="1"/>
  <c r="L39" i="1" s="1"/>
  <c r="M39" i="1" s="1"/>
  <c r="K40" i="1"/>
  <c r="L40" i="1" s="1"/>
  <c r="M40" i="1" s="1"/>
  <c r="K41" i="1"/>
  <c r="L41" i="1" s="1"/>
  <c r="M41" i="1" s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K46" i="1"/>
  <c r="K47" i="1"/>
  <c r="L47" i="1" s="1"/>
  <c r="M47" i="1" s="1"/>
  <c r="K48" i="1"/>
  <c r="L48" i="1" s="1"/>
  <c r="M48" i="1" s="1"/>
  <c r="K49" i="1"/>
  <c r="L49" i="1" s="1"/>
  <c r="M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K54" i="1"/>
  <c r="L54" i="1" s="1"/>
  <c r="M54" i="1" s="1"/>
  <c r="K55" i="1"/>
  <c r="L55" i="1" s="1"/>
  <c r="M55" i="1" s="1"/>
  <c r="K56" i="1"/>
  <c r="L56" i="1" s="1"/>
  <c r="M56" i="1" s="1"/>
  <c r="K57" i="1"/>
  <c r="L57" i="1" s="1"/>
  <c r="M57" i="1" s="1"/>
  <c r="K58" i="1"/>
  <c r="L58" i="1" s="1"/>
  <c r="M58" i="1" s="1"/>
  <c r="K59" i="1"/>
  <c r="L59" i="1" s="1"/>
  <c r="M59" i="1" s="1"/>
  <c r="K60" i="1"/>
  <c r="L60" i="1" s="1"/>
  <c r="M60" i="1" s="1"/>
  <c r="K61" i="1"/>
  <c r="L61" i="1" s="1"/>
  <c r="M61" i="1" s="1"/>
  <c r="K62" i="1"/>
  <c r="L62" i="1" s="1"/>
  <c r="M62" i="1" s="1"/>
  <c r="K63" i="1"/>
  <c r="L63" i="1" s="1"/>
  <c r="M63" i="1" s="1"/>
  <c r="K64" i="1"/>
  <c r="L64" i="1" s="1"/>
  <c r="M64" i="1" s="1"/>
  <c r="K65" i="1"/>
  <c r="L65" i="1" s="1"/>
  <c r="M65" i="1" s="1"/>
  <c r="K66" i="1"/>
  <c r="L66" i="1" s="1"/>
  <c r="M66" i="1" s="1"/>
  <c r="K67" i="1"/>
  <c r="L67" i="1" s="1"/>
  <c r="M67" i="1" s="1"/>
  <c r="K68" i="1"/>
  <c r="L68" i="1" s="1"/>
  <c r="M68" i="1" s="1"/>
  <c r="K69" i="1"/>
  <c r="L69" i="1" s="1"/>
  <c r="M69" i="1" s="1"/>
  <c r="K70" i="1"/>
  <c r="L70" i="1" s="1"/>
  <c r="M70" i="1" s="1"/>
  <c r="K71" i="1"/>
  <c r="L71" i="1" s="1"/>
  <c r="M71" i="1" s="1"/>
  <c r="K72" i="1"/>
  <c r="L72" i="1" s="1"/>
  <c r="M72" i="1" s="1"/>
  <c r="K73" i="1"/>
  <c r="L73" i="1" s="1"/>
  <c r="M73" i="1" s="1"/>
  <c r="K74" i="1"/>
  <c r="L74" i="1" s="1"/>
  <c r="M74" i="1" s="1"/>
  <c r="K75" i="1"/>
  <c r="L75" i="1" s="1"/>
  <c r="M75" i="1" s="1"/>
  <c r="K76" i="1"/>
  <c r="L76" i="1" s="1"/>
  <c r="M76" i="1" s="1"/>
  <c r="K77" i="1"/>
  <c r="L77" i="1" s="1"/>
  <c r="M77" i="1" s="1"/>
  <c r="K78" i="1"/>
  <c r="L78" i="1" s="1"/>
  <c r="M78" i="1" s="1"/>
  <c r="K79" i="1"/>
  <c r="L79" i="1" s="1"/>
  <c r="M79" i="1" s="1"/>
  <c r="K80" i="1"/>
  <c r="L80" i="1" s="1"/>
  <c r="M80" i="1" s="1"/>
  <c r="K81" i="1"/>
  <c r="L81" i="1" s="1"/>
  <c r="M81" i="1" s="1"/>
  <c r="K82" i="1"/>
  <c r="L82" i="1" s="1"/>
  <c r="M82" i="1" s="1"/>
  <c r="K83" i="1"/>
  <c r="L83" i="1" s="1"/>
  <c r="M83" i="1" s="1"/>
  <c r="K84" i="1"/>
  <c r="L84" i="1" s="1"/>
  <c r="M84" i="1" s="1"/>
  <c r="K85" i="1"/>
  <c r="L85" i="1" s="1"/>
  <c r="M85" i="1" s="1"/>
  <c r="K86" i="1"/>
  <c r="L86" i="1" s="1"/>
  <c r="M86" i="1" s="1"/>
  <c r="K87" i="1"/>
  <c r="L87" i="1" s="1"/>
  <c r="M87" i="1" s="1"/>
  <c r="K88" i="1"/>
  <c r="L88" i="1" s="1"/>
  <c r="M88" i="1" s="1"/>
  <c r="K89" i="1"/>
  <c r="L89" i="1" s="1"/>
  <c r="M89" i="1" s="1"/>
  <c r="K90" i="1"/>
  <c r="L90" i="1" s="1"/>
  <c r="M90" i="1" s="1"/>
  <c r="K91" i="1"/>
  <c r="L91" i="1" s="1"/>
  <c r="M91" i="1" s="1"/>
  <c r="K92" i="1"/>
  <c r="L92" i="1" s="1"/>
  <c r="M92" i="1" s="1"/>
  <c r="K93" i="1"/>
  <c r="L93" i="1" s="1"/>
  <c r="M93" i="1" s="1"/>
  <c r="K94" i="1"/>
  <c r="K95" i="1"/>
  <c r="L95" i="1" s="1"/>
  <c r="M95" i="1" s="1"/>
  <c r="K96" i="1"/>
  <c r="L96" i="1" s="1"/>
  <c r="M96" i="1" s="1"/>
  <c r="K97" i="1"/>
  <c r="L97" i="1" s="1"/>
  <c r="M97" i="1" s="1"/>
  <c r="K98" i="1"/>
  <c r="L98" i="1" s="1"/>
  <c r="M98" i="1" s="1"/>
  <c r="K99" i="1"/>
  <c r="L99" i="1" s="1"/>
  <c r="M99" i="1" s="1"/>
  <c r="K100" i="1"/>
  <c r="L100" i="1" s="1"/>
  <c r="M100" i="1" s="1"/>
  <c r="K101" i="1"/>
  <c r="L101" i="1" s="1"/>
  <c r="M101" i="1" s="1"/>
  <c r="K102" i="1"/>
  <c r="L102" i="1" s="1"/>
  <c r="M102" i="1" s="1"/>
  <c r="K103" i="1"/>
  <c r="L103" i="1" s="1"/>
  <c r="M103" i="1" s="1"/>
  <c r="K8" i="1"/>
  <c r="L8" i="1" s="1"/>
  <c r="M8" i="1" s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L94" i="1"/>
  <c r="M94" i="1" s="1"/>
  <c r="L46" i="1"/>
  <c r="M46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8" i="1"/>
  <c r="D8" i="1" s="1"/>
  <c r="P49" i="1" l="1"/>
  <c r="Q49" i="1" s="1"/>
  <c r="P13" i="1"/>
  <c r="Q13" i="1" s="1"/>
  <c r="P85" i="1"/>
  <c r="Q85" i="1" s="1"/>
  <c r="Q8" i="1"/>
  <c r="P32" i="1"/>
  <c r="Q32" i="1" s="1"/>
  <c r="P31" i="1"/>
  <c r="Q31" i="1" s="1"/>
  <c r="P103" i="1"/>
  <c r="Q103" i="1" s="1"/>
  <c r="P30" i="1"/>
  <c r="Q30" i="1" s="1"/>
  <c r="P66" i="1"/>
  <c r="Q66" i="1" s="1"/>
  <c r="P88" i="1"/>
  <c r="Q88" i="1" s="1"/>
  <c r="P16" i="1"/>
  <c r="Q16" i="1" s="1"/>
  <c r="P67" i="1"/>
  <c r="Q67" i="1" s="1"/>
  <c r="P102" i="1"/>
  <c r="Q102" i="1" s="1"/>
  <c r="P79" i="1"/>
  <c r="Q79" i="1" s="1"/>
  <c r="P90" i="1"/>
  <c r="Q90" i="1" s="1"/>
  <c r="P78" i="1"/>
  <c r="Q78" i="1" s="1"/>
  <c r="P54" i="1"/>
  <c r="Q54" i="1" s="1"/>
  <c r="P42" i="1"/>
  <c r="Q42" i="1" s="1"/>
  <c r="P18" i="1"/>
  <c r="Q18" i="1" s="1"/>
  <c r="P52" i="1"/>
  <c r="Q52" i="1" s="1"/>
  <c r="P55" i="1"/>
  <c r="Q55" i="1" s="1"/>
  <c r="P19" i="1"/>
  <c r="Q19" i="1" s="1"/>
  <c r="P68" i="1"/>
  <c r="Q68" i="1" s="1"/>
  <c r="P91" i="1"/>
  <c r="Q91" i="1" s="1"/>
  <c r="P43" i="1"/>
  <c r="Q43" i="1" s="1"/>
  <c r="P36" i="1"/>
  <c r="Q36" i="1" s="1"/>
  <c r="P92" i="1"/>
  <c r="Q92" i="1" s="1"/>
  <c r="P80" i="1"/>
  <c r="Q80" i="1" s="1"/>
  <c r="P56" i="1"/>
  <c r="Q56" i="1" s="1"/>
  <c r="P44" i="1"/>
  <c r="Q44" i="1" s="1"/>
  <c r="P20" i="1"/>
  <c r="Q20" i="1" s="1"/>
  <c r="P98" i="1"/>
  <c r="Q98" i="1" s="1"/>
  <c r="P26" i="1"/>
  <c r="Q26" i="1" s="1"/>
  <c r="P74" i="1"/>
  <c r="Q74" i="1" s="1"/>
  <c r="P38" i="1"/>
  <c r="Q38" i="1" s="1"/>
  <c r="P50" i="1"/>
  <c r="Q50" i="1" s="1"/>
  <c r="P86" i="1"/>
  <c r="Q86" i="1" s="1"/>
  <c r="P14" i="1"/>
  <c r="Q14" i="1" s="1"/>
  <c r="P62" i="1"/>
  <c r="Q62" i="1" s="1"/>
  <c r="P46" i="1"/>
  <c r="Q46" i="1" s="1"/>
  <c r="P83" i="1"/>
  <c r="Q83" i="1" s="1"/>
  <c r="P95" i="1"/>
  <c r="Q95" i="1" s="1"/>
  <c r="P71" i="1"/>
  <c r="Q71" i="1" s="1"/>
  <c r="P59" i="1"/>
  <c r="Q59" i="1" s="1"/>
  <c r="P47" i="1"/>
  <c r="Q47" i="1" s="1"/>
  <c r="P35" i="1"/>
  <c r="Q35" i="1" s="1"/>
  <c r="P23" i="1"/>
  <c r="Q23" i="1" s="1"/>
  <c r="P11" i="1"/>
  <c r="Q11" i="1" s="1"/>
  <c r="P101" i="1"/>
  <c r="Q101" i="1" s="1"/>
  <c r="P84" i="1"/>
  <c r="Q84" i="1" s="1"/>
  <c r="P65" i="1"/>
  <c r="Q65" i="1" s="1"/>
  <c r="P48" i="1"/>
  <c r="Q48" i="1" s="1"/>
  <c r="P29" i="1"/>
  <c r="Q29" i="1" s="1"/>
  <c r="P94" i="1"/>
  <c r="Q94" i="1" s="1"/>
  <c r="P82" i="1"/>
  <c r="Q82" i="1" s="1"/>
  <c r="P70" i="1"/>
  <c r="Q70" i="1" s="1"/>
  <c r="P58" i="1"/>
  <c r="Q58" i="1" s="1"/>
  <c r="P34" i="1"/>
  <c r="Q34" i="1" s="1"/>
  <c r="P22" i="1"/>
  <c r="Q22" i="1" s="1"/>
  <c r="P10" i="1"/>
  <c r="Q10" i="1" s="1"/>
  <c r="P100" i="1"/>
  <c r="Q100" i="1" s="1"/>
  <c r="P64" i="1"/>
  <c r="Q64" i="1" s="1"/>
  <c r="P28" i="1"/>
  <c r="Q28" i="1" s="1"/>
  <c r="P81" i="1"/>
  <c r="Q81" i="1" s="1"/>
  <c r="P69" i="1"/>
  <c r="Q69" i="1" s="1"/>
  <c r="P57" i="1"/>
  <c r="Q57" i="1" s="1"/>
  <c r="P45" i="1"/>
  <c r="Q45" i="1" s="1"/>
  <c r="P33" i="1"/>
  <c r="Q33" i="1" s="1"/>
  <c r="P21" i="1"/>
  <c r="Q21" i="1" s="1"/>
  <c r="P9" i="1"/>
  <c r="Q9" i="1" s="1"/>
  <c r="P12" i="1"/>
  <c r="Q12" i="1" s="1"/>
  <c r="P97" i="1"/>
  <c r="Q97" i="1" s="1"/>
  <c r="P61" i="1"/>
  <c r="Q61" i="1" s="1"/>
  <c r="P25" i="1"/>
  <c r="Q25" i="1" s="1"/>
  <c r="P96" i="1"/>
  <c r="Q96" i="1" s="1"/>
  <c r="P77" i="1"/>
  <c r="Q77" i="1" s="1"/>
  <c r="P60" i="1"/>
  <c r="Q60" i="1" s="1"/>
  <c r="P41" i="1"/>
  <c r="Q41" i="1" s="1"/>
  <c r="P24" i="1"/>
  <c r="Q24" i="1" s="1"/>
  <c r="P40" i="1"/>
  <c r="Q40" i="1" s="1"/>
  <c r="P76" i="1"/>
  <c r="Q76" i="1" s="1"/>
  <c r="P73" i="1"/>
  <c r="Q73" i="1" s="1"/>
  <c r="P37" i="1"/>
  <c r="Q37" i="1" s="1"/>
  <c r="P93" i="1"/>
  <c r="Q93" i="1" s="1"/>
  <c r="P99" i="1"/>
  <c r="Q99" i="1" s="1"/>
  <c r="P87" i="1"/>
  <c r="Q87" i="1" s="1"/>
  <c r="P75" i="1"/>
  <c r="Q75" i="1" s="1"/>
  <c r="P63" i="1"/>
  <c r="Q63" i="1" s="1"/>
  <c r="P51" i="1"/>
  <c r="Q51" i="1" s="1"/>
  <c r="P39" i="1"/>
  <c r="Q39" i="1" s="1"/>
  <c r="P27" i="1"/>
  <c r="Q27" i="1" s="1"/>
  <c r="P15" i="1"/>
  <c r="Q15" i="1" s="1"/>
  <c r="P89" i="1"/>
  <c r="Q89" i="1" s="1"/>
  <c r="P72" i="1"/>
  <c r="Q72" i="1" s="1"/>
  <c r="P53" i="1"/>
  <c r="Q53" i="1" s="1"/>
  <c r="P17" i="1"/>
  <c r="Q17" i="1" s="1"/>
</calcChain>
</file>

<file path=xl/sharedStrings.xml><?xml version="1.0" encoding="utf-8"?>
<sst xmlns="http://schemas.openxmlformats.org/spreadsheetml/2006/main" count="129" uniqueCount="113">
  <si>
    <t>Generation Forecast - Day-ahead</t>
  </si>
  <si>
    <t>Aggregated Generation per Type [16.1.B&amp;C]</t>
  </si>
  <si>
    <t>Day-ahead Aggregated Generation [14.1.C]</t>
  </si>
  <si>
    <t>09/04/2025 00:00 - 10/04/2025 00:00 (CET/CEST)</t>
  </si>
  <si>
    <t>MTU</t>
  </si>
  <si>
    <t>09/04/2025 00:00:00 - 09/04/2025 00:15:00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</si>
  <si>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</si>
  <si>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</si>
  <si>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</si>
  <si>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</si>
  <si>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</si>
  <si>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</si>
  <si>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</si>
  <si>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</si>
  <si>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</si>
  <si>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</si>
  <si>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</si>
  <si>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</si>
  <si>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</si>
  <si>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</si>
  <si>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</si>
  <si>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</si>
  <si>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</si>
  <si>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</si>
  <si>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</si>
  <si>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</si>
  <si>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</si>
  <si>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</si>
  <si>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</si>
  <si>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</si>
  <si>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09/04/2025 06:15:00 - 09/04/2025 06:30:00</t>
  </si>
  <si>
    <t>09/04/2025 06:30:00 - 09/04/2025 06:45:00</t>
  </si>
  <si>
    <t>09/04/2025 06:45:00 - 09/04/2025 07:00:00</t>
  </si>
  <si>
    <t>09/04/2025 07:00:00 - 09/04/2025 07:15:00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</si>
  <si>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</si>
  <si>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</si>
  <si>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</si>
  <si>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</si>
  <si>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09/04/2025 08:15:00 - 09/04/2025 08:30:00</t>
  </si>
  <si>
    <t>09/04/2025 08:30:00 - 09/04/2025 08:45:00</t>
  </si>
  <si>
    <t>09/04/2025 08:45:00 - 09/04/2025 09:00:00</t>
  </si>
  <si>
    <t>09/04/2025 09:00:00 - 09/04/2025 09:15:00</t>
  </si>
  <si>
    <t>09/04/2025 09:15:00 - 09/04/2025 09:30:00</t>
  </si>
  <si>
    <t>09/04/2025 09:30:00 - 09/04/2025 09:45:00</t>
  </si>
  <si>
    <t>09/04/2025 09:45:00 - 09/04/2025 10:00:00</t>
  </si>
  <si>
    <t>09/04/2025 10:00:00 - 09/04/2025 10:15:00</t>
  </si>
  <si>
    <t>09/04/2025 10:15:00 - 09/04/2025 10:30:00</t>
  </si>
  <si>
    <t>09/04/2025 10:30:00 - 09/04/2025 10:45:00</t>
  </si>
  <si>
    <t>09/04/2025 10:45:00 - 09/04/2025 11:00:00</t>
  </si>
  <si>
    <t>09/04/2025 11:00:00 - 09/04/2025 11:15:00</t>
  </si>
  <si>
    <t>09/04/2025 11:15:00 - 09/04/2025 11:30:00</t>
  </si>
  <si>
    <t>09/04/2025 11:30:00 - 09/04/2025 11:45:00</t>
  </si>
  <si>
    <t>09/04/2025 11:45:00 - 09/04/2025 12:00:00</t>
  </si>
  <si>
    <t>09/04/2025 12:00:00 - 09/04/2025 12:15:00</t>
  </si>
  <si>
    <t>09/04/2025 12:15:00 - 09/04/2025 12:30:00</t>
  </si>
  <si>
    <t>09/04/2025 12:30:00 - 09/04/2025 12:45:00</t>
  </si>
  <si>
    <t>09/04/2025 12:45:00 - 09/04/2025 13:00:00</t>
  </si>
  <si>
    <t>09/04/2025 13:00:00 - 09/04/2025 13:15:00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</si>
  <si>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</si>
  <si>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</si>
  <si>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</si>
  <si>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</si>
  <si>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09/04/2025 14:15:00 - 09/04/2025 14:30:00</t>
  </si>
  <si>
    <t>09/04/2025 14:30:00 - 09/04/2025 14:45:00</t>
  </si>
  <si>
    <t>09/04/2025 14:45:00 - 09/04/2025 15:00:00</t>
  </si>
  <si>
    <t>09/04/2025 15:00:00 - 09/04/2025 15:15:00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</si>
  <si>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</si>
  <si>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</si>
  <si>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</si>
  <si>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</si>
  <si>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09/04/2025 16:15:00 - 09/04/2025 16:30:00</t>
  </si>
  <si>
    <t>09/04/2025 16:30:00 - 09/04/2025 16:45:00</t>
  </si>
  <si>
    <t>09/04/2025 16:45:00 - 09/04/2025 17:00:00</t>
  </si>
  <si>
    <t>09/04/2025 17:00:00 - 09/04/2025 17:15:00</t>
  </si>
  <si>
    <t>09/04/2025 17:15:00 - 09/04/2025 17:30:00</t>
  </si>
  <si>
    <t>09/04/2025 17:30:00 - 09/04/2025 17:45:00</t>
  </si>
  <si>
    <t>09/04/2025 17:45:00 - 09/04/2025 18:00:00</t>
  </si>
  <si>
    <t>09/04/2025 18:00:00 - 09/04/2025 18:15:00</t>
  </si>
  <si>
    <t>09/04/2025 18:15:00 - 09/04/2025 18:30:00</t>
  </si>
  <si>
    <t>09/04/2025 18:30:00 - 09/04/2025 18:45:00</t>
  </si>
  <si>
    <t>09/04/2025 18:45:00 - 09/04/2025 19:00:00</t>
  </si>
  <si>
    <t>09/04/2025 19:00:00 - 09/04/2025 19:15:00</t>
  </si>
  <si>
    <t>09/04/2025 19:15:00 - 09/04/2025 19:30:00</t>
  </si>
  <si>
    <t>09/04/2025 19:30:00 - 09/04/2025 19:45:00</t>
  </si>
  <si>
    <t>09/04/2025 19:45:00 - 09/04/2025 20:00:00</t>
  </si>
  <si>
    <t>09/04/2025 20:00:00 - 09/04/2025 20:15:00</t>
  </si>
  <si>
    <t>09/04/2025 20:15:00 - 09/04/2025 20:30:00</t>
  </si>
  <si>
    <t>09/04/2025 20:30:00 - 09/04/2025 20:45:00</t>
  </si>
  <si>
    <t>09/04/2025 20:45:00 - 09/04/2025 21:00:00</t>
  </si>
  <si>
    <t>09/04/2025 21:00:00 - 09/04/2025 21:15:00</t>
  </si>
  <si>
    <t>09/04/2025 21:15:00 - 09/04/2025 21:30:00</t>
  </si>
  <si>
    <t>09/04/2025 21:30:00 - 09/04/2025 21:45:00</t>
  </si>
  <si>
    <t>09/04/2025 21:45:00 - 09/04/2025 22:00:00</t>
  </si>
  <si>
    <t>09/04/2025 22:00:00 - 09/04/2025 22:15:00</t>
  </si>
  <si>
    <t>09/04/2025 22:15:00 - 09/04/2025 22:30:00</t>
  </si>
  <si>
    <t>09/04/2025 22:30:00 - 09/04/2025 22:45:00</t>
  </si>
  <si>
    <t>09/04/2025 22:45:00 - 09/04/2025 23:00:00</t>
  </si>
  <si>
    <t>09/04/2025 23:00:00 - 09/04/2025 23:15:00</t>
  </si>
  <si>
    <t>09/04/2025 23:15:00 - 09/04/2025 23:30:00</t>
  </si>
  <si>
    <t>09/04/2025 23:30:00 - 09/04/2025 23:45:00</t>
  </si>
  <si>
    <t>09/04/2025 23:45:00 - 10/04/2025 00:00:00</t>
  </si>
  <si>
    <t>Solar</t>
  </si>
  <si>
    <t>Wind offshore</t>
  </si>
  <si>
    <t>Wind onshore</t>
  </si>
  <si>
    <t>g/kWh</t>
  </si>
  <si>
    <t>Mean 2024 residual emission factor</t>
  </si>
  <si>
    <t>Hourly mean (kg/kWh)</t>
  </si>
  <si>
    <t>Total</t>
  </si>
  <si>
    <t>MW</t>
  </si>
  <si>
    <t>MWh</t>
  </si>
  <si>
    <t>kg</t>
  </si>
  <si>
    <t>kg/kWh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</si>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</sst>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9" borderId="0" xfId="0" applyFont="1" applyFill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/>
    <xf numFmtId="0" fontId="1" fillId="10" borderId="0" xfId="0" applyFont="1" applyFill="1"/>
    <xf numFmtId="0" fontId="1" fillId="2" borderId="11" xfId="0" applyFont="1" applyFill="1" applyBorder="1" applyAlignment="1">
      <alignment horizontal="center" vertical="center" wrapText="1"/>
    </xf>
    <xf numFmtId="0" fontId="0" fillId="0" borderId="17" xfId="0" applyBorder="1"/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showGridLines="0" tabSelected="1" showRuler="0" zoomScaleNormal="100" workbookViewId="0">
      <selection sqref="A1:B1"/>
    </sheetView>
  </sheetViews>
  <sheetFormatPr baseColWidth="10" defaultColWidth="30" defaultRowHeight="13" x14ac:dyDescent="0.15"/>
  <cols>
    <col min="1" max="1" width="40"/>
  </cols>
  <sheetData>
    <row r="1" spans="1:18" x14ac:dyDescent="0.15">
      <c r="A1" s="24" t="s">
        <v>0</v>
      </c>
      <c r="B1" s="24"/>
    </row>
    <row r="2" spans="1:18" x14ac:dyDescent="0.15">
      <c r="A2" s="25" t="s">
        <v>1</v>
      </c>
      <c r="B2" s="25"/>
    </row>
    <row r="3" spans="1:18" x14ac:dyDescent="0.15">
      <c r="A3" s="25" t="s">
        <v>2</v>
      </c>
      <c r="B3" s="25"/>
    </row>
    <row r="4" spans="1:18" ht="14" thickBot="1" x14ac:dyDescent="0.2">
      <c r="A4" s="26" t="s">
        <v>3</v>
      </c>
      <c r="B4" s="26"/>
      <c r="C4" s="6" t="s">
        <v>104</v>
      </c>
      <c r="F4" s="6" t="s">
        <v>104</v>
      </c>
      <c r="I4" s="6" t="s">
        <v>104</v>
      </c>
      <c r="L4" s="6" t="s">
        <v>104</v>
      </c>
    </row>
    <row r="5" spans="1:18" ht="14" thickBot="1" x14ac:dyDescent="0.2">
      <c r="C5" s="6">
        <v>57</v>
      </c>
      <c r="F5" s="6">
        <v>10</v>
      </c>
      <c r="I5" s="6">
        <v>18</v>
      </c>
      <c r="L5" s="6">
        <v>635.63392929516829</v>
      </c>
      <c r="M5" s="10" t="s">
        <v>105</v>
      </c>
    </row>
    <row r="6" spans="1:18" ht="14" customHeight="1" thickBot="1" x14ac:dyDescent="0.2">
      <c r="A6" s="27" t="s">
        <v>4</v>
      </c>
      <c r="B6" s="19" t="s">
        <v>101</v>
      </c>
      <c r="C6" s="20"/>
      <c r="D6" s="20"/>
      <c r="E6" s="17" t="s">
        <v>102</v>
      </c>
      <c r="F6" s="18"/>
      <c r="G6" s="18"/>
      <c r="H6" s="13" t="s">
        <v>103</v>
      </c>
      <c r="I6" s="14"/>
      <c r="J6" s="14"/>
      <c r="K6" s="15" t="s">
        <v>112</v>
      </c>
      <c r="L6" s="16"/>
      <c r="M6" s="16"/>
      <c r="N6" s="21" t="s">
        <v>107</v>
      </c>
      <c r="O6" s="22"/>
      <c r="P6" s="22"/>
      <c r="Q6" s="22"/>
      <c r="R6" s="23"/>
    </row>
    <row r="7" spans="1:18" ht="15" thickBot="1" x14ac:dyDescent="0.2">
      <c r="A7" s="28" t="s">
        <v>4</v>
      </c>
      <c r="B7" s="2" t="s">
        <v>108</v>
      </c>
      <c r="C7" s="3" t="s">
        <v>109</v>
      </c>
      <c r="D7" s="3" t="s">
        <v>110</v>
      </c>
      <c r="E7" s="2" t="s">
        <v>108</v>
      </c>
      <c r="F7" s="3" t="s">
        <v>109</v>
      </c>
      <c r="G7" s="3" t="s">
        <v>110</v>
      </c>
      <c r="H7" s="2" t="s">
        <v>108</v>
      </c>
      <c r="I7" s="3" t="s">
        <v>109</v>
      </c>
      <c r="J7" s="3" t="s">
        <v>110</v>
      </c>
      <c r="K7" s="2" t="s">
        <v>108</v>
      </c>
      <c r="L7" s="3" t="s">
        <v>109</v>
      </c>
      <c r="M7" s="3" t="s">
        <v>110</v>
      </c>
      <c r="N7" s="2" t="s">
        <v>108</v>
      </c>
      <c r="O7" s="3" t="s">
        <v>109</v>
      </c>
      <c r="P7" s="3" t="s">
        <v>110</v>
      </c>
      <c r="Q7" s="7" t="s">
        <v>111</v>
      </c>
      <c r="R7" s="11" t="s">
        <v>106</v>
      </c>
    </row>
    <row r="8" spans="1:18" ht="14" x14ac:dyDescent="0.15">
      <c r="A8" s="1" t="s">
        <v>5</v>
      </c>
      <c r="B8" s="1">
        <v>0</v>
      </c>
      <c r="C8" s="4">
        <f>B8*0.25</f>
        <v>0</v>
      </c>
      <c r="D8" s="4">
        <f>C8*$C$5</f>
        <v>0</v>
      </c>
      <c r="E8" s="1">
        <v>256.79000000000002</v>
      </c>
      <c r="F8" s="4">
        <f>E8*0.25</f>
        <v>64.197500000000005</v>
      </c>
      <c r="G8" s="4">
        <f>F8*$F$5</f>
        <v>641.97500000000002</v>
      </c>
      <c r="H8" s="1">
        <v>4060.28</v>
      </c>
      <c r="I8" s="4">
        <f>H8*0.25</f>
        <v>1015.07</v>
      </c>
      <c r="J8" s="4">
        <f>I8*$I$5</f>
        <v>18271.260000000002</v>
      </c>
      <c r="K8" s="1">
        <f t="shared" ref="K8:K39" si="0">N8-H8-E8-B8</f>
        <v>33295.56</v>
      </c>
      <c r="L8" s="4">
        <f>K8*0.25</f>
        <v>8323.89</v>
      </c>
      <c r="M8" s="4">
        <f>L8*$L$5</f>
        <v>5290946.9077207576</v>
      </c>
      <c r="N8" s="1">
        <v>37612.629999999997</v>
      </c>
      <c r="O8" s="4">
        <f>N8*0.25</f>
        <v>9403.1574999999993</v>
      </c>
      <c r="P8" s="8">
        <f>M8+J8+G8+D8</f>
        <v>5309860.1427207571</v>
      </c>
      <c r="Q8" s="9">
        <f>P8/O8/1000</f>
        <v>0.56468905713009243</v>
      </c>
      <c r="R8" s="9">
        <v>0.56560093172618398</v>
      </c>
    </row>
    <row r="9" spans="1:18" ht="14" x14ac:dyDescent="0.15">
      <c r="A9" s="1" t="s">
        <v>6</v>
      </c>
      <c r="B9" s="5">
        <v>0</v>
      </c>
      <c r="C9" s="4">
        <f t="shared" ref="C9:C72" si="1">B9*0.25</f>
        <v>0</v>
      </c>
      <c r="D9" s="4">
        <f t="shared" ref="D9:D72" si="2">C9*$C$5</f>
        <v>0</v>
      </c>
      <c r="E9" s="1">
        <v>269.86</v>
      </c>
      <c r="F9" s="4">
        <f t="shared" ref="F9:F72" si="3">E9*0.25</f>
        <v>67.465000000000003</v>
      </c>
      <c r="G9" s="4">
        <f t="shared" ref="G9:G72" si="4">F9*$F$5</f>
        <v>674.65000000000009</v>
      </c>
      <c r="H9" s="1">
        <v>3955.36</v>
      </c>
      <c r="I9" s="4">
        <f t="shared" ref="I9:I72" si="5">H9*0.25</f>
        <v>988.84</v>
      </c>
      <c r="J9" s="4">
        <f t="shared" ref="J9:J72" si="6">I9*$I$5</f>
        <v>17799.12</v>
      </c>
      <c r="K9" s="1">
        <f t="shared" si="0"/>
        <v>32880.699999999997</v>
      </c>
      <c r="L9" s="4">
        <f t="shared" ref="L9:L72" si="7">K9*0.25</f>
        <v>8220.1749999999993</v>
      </c>
      <c r="M9" s="4">
        <f t="shared" ref="M9:M72" si="8">L9*$L$5</f>
        <v>5225022.1347439094</v>
      </c>
      <c r="N9" s="1">
        <v>37105.919999999998</v>
      </c>
      <c r="O9" s="4">
        <f t="shared" ref="O9:O72" si="9">N9*0.25</f>
        <v>9276.48</v>
      </c>
      <c r="P9" s="8">
        <f t="shared" ref="P9:P39" si="10">M9+J9+G9+D9</f>
        <v>5243495.9047439098</v>
      </c>
      <c r="Q9" s="9">
        <f t="shared" ref="Q9:Q72" si="11">P9/O9/1000</f>
        <v>0.56524629005225158</v>
      </c>
      <c r="R9" s="12">
        <v>0.56829392590944516</v>
      </c>
    </row>
    <row r="10" spans="1:18" ht="14" x14ac:dyDescent="0.15">
      <c r="A10" s="1" t="s">
        <v>7</v>
      </c>
      <c r="B10" s="5">
        <v>0</v>
      </c>
      <c r="C10" s="4">
        <f t="shared" si="1"/>
        <v>0</v>
      </c>
      <c r="D10" s="4">
        <f t="shared" si="2"/>
        <v>0</v>
      </c>
      <c r="E10" s="1">
        <v>285.94</v>
      </c>
      <c r="F10" s="4">
        <f t="shared" si="3"/>
        <v>71.484999999999999</v>
      </c>
      <c r="G10" s="4">
        <f t="shared" si="4"/>
        <v>714.85</v>
      </c>
      <c r="H10" s="1">
        <v>3849.17</v>
      </c>
      <c r="I10" s="4">
        <f t="shared" si="5"/>
        <v>962.29250000000002</v>
      </c>
      <c r="J10" s="4">
        <f t="shared" si="6"/>
        <v>17321.264999999999</v>
      </c>
      <c r="K10" s="1">
        <f t="shared" si="0"/>
        <v>32469.860000000004</v>
      </c>
      <c r="L10" s="4">
        <f t="shared" si="7"/>
        <v>8117.4650000000011</v>
      </c>
      <c r="M10" s="4">
        <f t="shared" si="8"/>
        <v>5159736.1738660038</v>
      </c>
      <c r="N10" s="1">
        <v>36604.97</v>
      </c>
      <c r="O10" s="4">
        <f t="shared" si="9"/>
        <v>9151.2425000000003</v>
      </c>
      <c r="P10" s="8">
        <f t="shared" si="10"/>
        <v>5177772.288866003</v>
      </c>
      <c r="Q10" s="9">
        <f t="shared" si="11"/>
        <v>0.56579992158070369</v>
      </c>
      <c r="R10" s="12">
        <v>0.56833136157120023</v>
      </c>
    </row>
    <row r="11" spans="1:18" ht="14" x14ac:dyDescent="0.15">
      <c r="A11" s="1" t="s">
        <v>8</v>
      </c>
      <c r="B11" s="5">
        <v>0</v>
      </c>
      <c r="C11" s="4">
        <f t="shared" si="1"/>
        <v>0</v>
      </c>
      <c r="D11" s="4">
        <f t="shared" si="2"/>
        <v>0</v>
      </c>
      <c r="E11" s="1">
        <v>296.08</v>
      </c>
      <c r="F11" s="4">
        <f t="shared" si="3"/>
        <v>74.02</v>
      </c>
      <c r="G11" s="4">
        <f t="shared" si="4"/>
        <v>740.19999999999993</v>
      </c>
      <c r="H11" s="1">
        <v>3745.84</v>
      </c>
      <c r="I11" s="4">
        <f t="shared" si="5"/>
        <v>936.46</v>
      </c>
      <c r="J11" s="4">
        <f t="shared" si="6"/>
        <v>16856.28</v>
      </c>
      <c r="K11" s="1">
        <f t="shared" si="0"/>
        <v>32190.639999999996</v>
      </c>
      <c r="L11" s="4">
        <f t="shared" si="7"/>
        <v>8047.6599999999989</v>
      </c>
      <c r="M11" s="4">
        <f t="shared" si="8"/>
        <v>5115365.747431553</v>
      </c>
      <c r="N11" s="1">
        <v>36232.559999999998</v>
      </c>
      <c r="O11" s="4">
        <f t="shared" si="9"/>
        <v>9058.14</v>
      </c>
      <c r="P11" s="8">
        <f t="shared" si="10"/>
        <v>5132962.2274315534</v>
      </c>
      <c r="Q11" s="9">
        <f t="shared" si="11"/>
        <v>0.56666845814168842</v>
      </c>
      <c r="R11" s="12">
        <v>0.56883633503127429</v>
      </c>
    </row>
    <row r="12" spans="1:18" ht="14" x14ac:dyDescent="0.15">
      <c r="A12" s="1" t="s">
        <v>9</v>
      </c>
      <c r="B12" s="5">
        <v>0</v>
      </c>
      <c r="C12" s="4">
        <f t="shared" si="1"/>
        <v>0</v>
      </c>
      <c r="D12" s="4">
        <f t="shared" si="2"/>
        <v>0</v>
      </c>
      <c r="E12" s="1">
        <v>314.92</v>
      </c>
      <c r="F12" s="4">
        <f t="shared" si="3"/>
        <v>78.73</v>
      </c>
      <c r="G12" s="4">
        <f t="shared" si="4"/>
        <v>787.30000000000007</v>
      </c>
      <c r="H12" s="1">
        <v>3641.8</v>
      </c>
      <c r="I12" s="4">
        <f t="shared" si="5"/>
        <v>910.45</v>
      </c>
      <c r="J12" s="4">
        <f t="shared" si="6"/>
        <v>16388.100000000002</v>
      </c>
      <c r="K12" s="1">
        <f t="shared" si="0"/>
        <v>32287.010000000006</v>
      </c>
      <c r="L12" s="4">
        <f t="shared" si="7"/>
        <v>8071.7525000000014</v>
      </c>
      <c r="M12" s="4">
        <f t="shared" si="8"/>
        <v>5130679.7578730984</v>
      </c>
      <c r="N12" s="1">
        <v>36243.730000000003</v>
      </c>
      <c r="O12" s="4">
        <f t="shared" si="9"/>
        <v>9060.9325000000008</v>
      </c>
      <c r="P12" s="8">
        <f t="shared" si="10"/>
        <v>5147855.1578730978</v>
      </c>
      <c r="Q12" s="9">
        <f t="shared" si="11"/>
        <v>0.56813745802356397</v>
      </c>
      <c r="R12" s="12">
        <v>0.56890459726071063</v>
      </c>
    </row>
    <row r="13" spans="1:18" ht="14" x14ac:dyDescent="0.15">
      <c r="A13" s="1" t="s">
        <v>10</v>
      </c>
      <c r="B13" s="5">
        <v>0</v>
      </c>
      <c r="C13" s="4">
        <f t="shared" si="1"/>
        <v>0</v>
      </c>
      <c r="D13" s="4">
        <f t="shared" si="2"/>
        <v>0</v>
      </c>
      <c r="E13" s="1">
        <v>346.66</v>
      </c>
      <c r="F13" s="4">
        <f t="shared" si="3"/>
        <v>86.665000000000006</v>
      </c>
      <c r="G13" s="4">
        <f t="shared" si="4"/>
        <v>866.65000000000009</v>
      </c>
      <c r="H13" s="1">
        <v>3556.17</v>
      </c>
      <c r="I13" s="4">
        <f t="shared" si="5"/>
        <v>889.04250000000002</v>
      </c>
      <c r="J13" s="4">
        <f t="shared" si="6"/>
        <v>16002.764999999999</v>
      </c>
      <c r="K13" s="1">
        <f t="shared" si="0"/>
        <v>31855.890000000003</v>
      </c>
      <c r="L13" s="4">
        <f t="shared" si="7"/>
        <v>7963.9725000000008</v>
      </c>
      <c r="M13" s="4">
        <f t="shared" si="8"/>
        <v>5062171.1329736654</v>
      </c>
      <c r="N13" s="1">
        <v>35758.720000000001</v>
      </c>
      <c r="O13" s="4">
        <f t="shared" si="9"/>
        <v>8939.68</v>
      </c>
      <c r="P13" s="8">
        <f t="shared" si="10"/>
        <v>5079040.5479736654</v>
      </c>
      <c r="Q13" s="9">
        <f t="shared" si="11"/>
        <v>0.56814567724724652</v>
      </c>
      <c r="R13" s="12">
        <v>0.56587165739574574</v>
      </c>
    </row>
    <row r="14" spans="1:18" ht="14" x14ac:dyDescent="0.15">
      <c r="A14" s="1" t="s">
        <v>11</v>
      </c>
      <c r="B14" s="5">
        <v>0</v>
      </c>
      <c r="C14" s="4">
        <f t="shared" si="1"/>
        <v>0</v>
      </c>
      <c r="D14" s="4">
        <f t="shared" si="2"/>
        <v>0</v>
      </c>
      <c r="E14" s="1">
        <v>370.4</v>
      </c>
      <c r="F14" s="4">
        <f t="shared" si="3"/>
        <v>92.6</v>
      </c>
      <c r="G14" s="4">
        <f t="shared" si="4"/>
        <v>926</v>
      </c>
      <c r="H14" s="1">
        <v>3478.69</v>
      </c>
      <c r="I14" s="4">
        <f t="shared" si="5"/>
        <v>869.67250000000001</v>
      </c>
      <c r="J14" s="4">
        <f t="shared" si="6"/>
        <v>15654.105</v>
      </c>
      <c r="K14" s="1">
        <f t="shared" si="0"/>
        <v>31531.920000000002</v>
      </c>
      <c r="L14" s="4">
        <f t="shared" si="7"/>
        <v>7882.9800000000005</v>
      </c>
      <c r="M14" s="4">
        <f t="shared" si="8"/>
        <v>5010689.5519552259</v>
      </c>
      <c r="N14" s="1">
        <v>35381.01</v>
      </c>
      <c r="O14" s="4">
        <f t="shared" si="9"/>
        <v>8845.2525000000005</v>
      </c>
      <c r="P14" s="8">
        <f t="shared" si="10"/>
        <v>5027269.6569552263</v>
      </c>
      <c r="Q14" s="9">
        <f t="shared" si="11"/>
        <v>0.56835795891131724</v>
      </c>
      <c r="R14" s="12">
        <v>0.56394696318184723</v>
      </c>
    </row>
    <row r="15" spans="1:18" ht="14" x14ac:dyDescent="0.15">
      <c r="A15" s="1" t="s">
        <v>12</v>
      </c>
      <c r="B15" s="5">
        <v>0</v>
      </c>
      <c r="C15" s="4">
        <f t="shared" si="1"/>
        <v>0</v>
      </c>
      <c r="D15" s="4">
        <f t="shared" si="2"/>
        <v>0</v>
      </c>
      <c r="E15" s="1">
        <v>398.53</v>
      </c>
      <c r="F15" s="4">
        <f t="shared" si="3"/>
        <v>99.632499999999993</v>
      </c>
      <c r="G15" s="4">
        <f t="shared" si="4"/>
        <v>996.32499999999993</v>
      </c>
      <c r="H15" s="1">
        <v>3419.45</v>
      </c>
      <c r="I15" s="4">
        <f t="shared" si="5"/>
        <v>854.86249999999995</v>
      </c>
      <c r="J15" s="4">
        <f t="shared" si="6"/>
        <v>15387.525</v>
      </c>
      <c r="K15" s="1">
        <f t="shared" si="0"/>
        <v>31373.170000000002</v>
      </c>
      <c r="L15" s="4">
        <f t="shared" si="7"/>
        <v>7843.2925000000005</v>
      </c>
      <c r="M15" s="4">
        <f t="shared" si="8"/>
        <v>4985462.8303863239</v>
      </c>
      <c r="N15" s="1">
        <v>35191.15</v>
      </c>
      <c r="O15" s="4">
        <f t="shared" si="9"/>
        <v>8797.7875000000004</v>
      </c>
      <c r="P15" s="8">
        <f t="shared" si="10"/>
        <v>5001846.6803863244</v>
      </c>
      <c r="Q15" s="9">
        <f t="shared" si="11"/>
        <v>0.56853460945565282</v>
      </c>
      <c r="R15" s="12">
        <v>0.5334247954347231</v>
      </c>
    </row>
    <row r="16" spans="1:18" ht="14" x14ac:dyDescent="0.15">
      <c r="A16" s="1" t="s">
        <v>13</v>
      </c>
      <c r="B16" s="5">
        <v>0</v>
      </c>
      <c r="C16" s="4">
        <f t="shared" si="1"/>
        <v>0</v>
      </c>
      <c r="D16" s="4">
        <f t="shared" si="2"/>
        <v>0</v>
      </c>
      <c r="E16" s="1">
        <v>434.01</v>
      </c>
      <c r="F16" s="4">
        <f t="shared" si="3"/>
        <v>108.5025</v>
      </c>
      <c r="G16" s="4">
        <f t="shared" si="4"/>
        <v>1085.0250000000001</v>
      </c>
      <c r="H16" s="1">
        <v>3370.67</v>
      </c>
      <c r="I16" s="4">
        <f t="shared" si="5"/>
        <v>842.66750000000002</v>
      </c>
      <c r="J16" s="4">
        <f t="shared" si="6"/>
        <v>15168.014999999999</v>
      </c>
      <c r="K16" s="1">
        <f t="shared" si="0"/>
        <v>31350.370000000006</v>
      </c>
      <c r="L16" s="4">
        <f t="shared" si="7"/>
        <v>7837.5925000000016</v>
      </c>
      <c r="M16" s="4">
        <f t="shared" si="8"/>
        <v>4981839.7169893421</v>
      </c>
      <c r="N16" s="1">
        <v>35155.050000000003</v>
      </c>
      <c r="O16" s="4">
        <f t="shared" si="9"/>
        <v>8788.7625000000007</v>
      </c>
      <c r="P16" s="8">
        <f t="shared" si="10"/>
        <v>4998092.7569893422</v>
      </c>
      <c r="Q16" s="9">
        <f t="shared" si="11"/>
        <v>0.5686912983471043</v>
      </c>
      <c r="R16" s="12">
        <v>0.46693067139799366</v>
      </c>
    </row>
    <row r="17" spans="1:18" ht="14" x14ac:dyDescent="0.15">
      <c r="A17" s="1" t="s">
        <v>14</v>
      </c>
      <c r="B17" s="5">
        <v>0</v>
      </c>
      <c r="C17" s="4">
        <f t="shared" si="1"/>
        <v>0</v>
      </c>
      <c r="D17" s="4">
        <f t="shared" si="2"/>
        <v>0</v>
      </c>
      <c r="E17" s="1">
        <v>472.25</v>
      </c>
      <c r="F17" s="4">
        <f t="shared" si="3"/>
        <v>118.0625</v>
      </c>
      <c r="G17" s="4">
        <f t="shared" si="4"/>
        <v>1180.625</v>
      </c>
      <c r="H17" s="1">
        <v>3334.52</v>
      </c>
      <c r="I17" s="4">
        <f t="shared" si="5"/>
        <v>833.63</v>
      </c>
      <c r="J17" s="4">
        <f t="shared" si="6"/>
        <v>15005.34</v>
      </c>
      <c r="K17" s="1">
        <f t="shared" si="0"/>
        <v>31066.16</v>
      </c>
      <c r="L17" s="4">
        <f t="shared" si="7"/>
        <v>7766.54</v>
      </c>
      <c r="M17" s="4">
        <f t="shared" si="8"/>
        <v>4936676.3372280961</v>
      </c>
      <c r="N17" s="1">
        <v>34872.93</v>
      </c>
      <c r="O17" s="4">
        <f t="shared" si="9"/>
        <v>8718.2325000000001</v>
      </c>
      <c r="P17" s="8">
        <f t="shared" si="10"/>
        <v>4952862.3022280959</v>
      </c>
      <c r="Q17" s="9">
        <f t="shared" si="11"/>
        <v>0.56810394793074126</v>
      </c>
      <c r="R17" s="12">
        <v>0.38715801724818927</v>
      </c>
    </row>
    <row r="18" spans="1:18" ht="14" x14ac:dyDescent="0.15">
      <c r="A18" s="1" t="s">
        <v>15</v>
      </c>
      <c r="B18" s="5">
        <v>0</v>
      </c>
      <c r="C18" s="4">
        <f t="shared" si="1"/>
        <v>0</v>
      </c>
      <c r="D18" s="4">
        <f t="shared" si="2"/>
        <v>0</v>
      </c>
      <c r="E18" s="1">
        <v>510.47</v>
      </c>
      <c r="F18" s="4">
        <f t="shared" si="3"/>
        <v>127.61750000000001</v>
      </c>
      <c r="G18" s="4">
        <f t="shared" si="4"/>
        <v>1276.1750000000002</v>
      </c>
      <c r="H18" s="1">
        <v>3287.31</v>
      </c>
      <c r="I18" s="4">
        <f t="shared" si="5"/>
        <v>821.82749999999999</v>
      </c>
      <c r="J18" s="4">
        <f t="shared" si="6"/>
        <v>14792.895</v>
      </c>
      <c r="K18" s="1">
        <f t="shared" si="0"/>
        <v>31051.51</v>
      </c>
      <c r="L18" s="4">
        <f t="shared" si="7"/>
        <v>7762.8774999999996</v>
      </c>
      <c r="M18" s="4">
        <f t="shared" si="8"/>
        <v>4934348.3279620521</v>
      </c>
      <c r="N18" s="1">
        <v>34849.29</v>
      </c>
      <c r="O18" s="4">
        <f t="shared" si="9"/>
        <v>8712.3225000000002</v>
      </c>
      <c r="P18" s="8">
        <f t="shared" si="10"/>
        <v>4950417.3979620514</v>
      </c>
      <c r="Q18" s="9">
        <f t="shared" si="11"/>
        <v>0.5682086949791002</v>
      </c>
      <c r="R18" s="12">
        <v>0.30851236934208448</v>
      </c>
    </row>
    <row r="19" spans="1:18" ht="14" x14ac:dyDescent="0.15">
      <c r="A19" s="1" t="s">
        <v>16</v>
      </c>
      <c r="B19" s="5">
        <v>0</v>
      </c>
      <c r="C19" s="4">
        <f t="shared" si="1"/>
        <v>0</v>
      </c>
      <c r="D19" s="4">
        <f t="shared" si="2"/>
        <v>0</v>
      </c>
      <c r="E19" s="1">
        <v>543.65</v>
      </c>
      <c r="F19" s="4">
        <f t="shared" si="3"/>
        <v>135.91249999999999</v>
      </c>
      <c r="G19" s="4">
        <f t="shared" si="4"/>
        <v>1359.125</v>
      </c>
      <c r="H19" s="1">
        <v>3241.16</v>
      </c>
      <c r="I19" s="4">
        <f t="shared" si="5"/>
        <v>810.29</v>
      </c>
      <c r="J19" s="4">
        <f t="shared" si="6"/>
        <v>14585.22</v>
      </c>
      <c r="K19" s="1">
        <f t="shared" si="0"/>
        <v>31007.819999999996</v>
      </c>
      <c r="L19" s="4">
        <f t="shared" si="7"/>
        <v>7751.954999999999</v>
      </c>
      <c r="M19" s="4">
        <f t="shared" si="8"/>
        <v>4927405.6163693257</v>
      </c>
      <c r="N19" s="1">
        <v>34792.629999999997</v>
      </c>
      <c r="O19" s="4">
        <f t="shared" si="9"/>
        <v>8698.1574999999993</v>
      </c>
      <c r="P19" s="8">
        <f t="shared" si="10"/>
        <v>4943349.9613693254</v>
      </c>
      <c r="Q19" s="9">
        <f t="shared" si="11"/>
        <v>0.56832150502785506</v>
      </c>
      <c r="R19" s="12">
        <v>0.26703947324321287</v>
      </c>
    </row>
    <row r="20" spans="1:18" ht="14" x14ac:dyDescent="0.15">
      <c r="A20" s="1" t="s">
        <v>17</v>
      </c>
      <c r="B20" s="5">
        <v>0</v>
      </c>
      <c r="C20" s="4">
        <f t="shared" si="1"/>
        <v>0</v>
      </c>
      <c r="D20" s="4">
        <f t="shared" si="2"/>
        <v>0</v>
      </c>
      <c r="E20" s="1">
        <v>584.41999999999996</v>
      </c>
      <c r="F20" s="4">
        <f t="shared" si="3"/>
        <v>146.10499999999999</v>
      </c>
      <c r="G20" s="4">
        <f t="shared" si="4"/>
        <v>1461.05</v>
      </c>
      <c r="H20" s="1">
        <v>3190.96</v>
      </c>
      <c r="I20" s="4">
        <f t="shared" si="5"/>
        <v>797.74</v>
      </c>
      <c r="J20" s="4">
        <f t="shared" si="6"/>
        <v>14359.32</v>
      </c>
      <c r="K20" s="1">
        <f t="shared" si="0"/>
        <v>30944.350000000006</v>
      </c>
      <c r="L20" s="4">
        <f t="shared" si="7"/>
        <v>7736.0875000000015</v>
      </c>
      <c r="M20" s="4">
        <f t="shared" si="8"/>
        <v>4917319.6949962359</v>
      </c>
      <c r="N20" s="1">
        <v>34719.730000000003</v>
      </c>
      <c r="O20" s="4">
        <f t="shared" si="9"/>
        <v>8679.9325000000008</v>
      </c>
      <c r="P20" s="8">
        <f t="shared" si="10"/>
        <v>4933140.064996236</v>
      </c>
      <c r="Q20" s="9">
        <f t="shared" si="11"/>
        <v>0.56833852855379174</v>
      </c>
      <c r="R20" s="12">
        <v>0.25847454829703426</v>
      </c>
    </row>
    <row r="21" spans="1:18" ht="14" x14ac:dyDescent="0.15">
      <c r="A21" s="1" t="s">
        <v>18</v>
      </c>
      <c r="B21" s="5">
        <v>0</v>
      </c>
      <c r="C21" s="4">
        <f t="shared" si="1"/>
        <v>0</v>
      </c>
      <c r="D21" s="4">
        <f t="shared" si="2"/>
        <v>0</v>
      </c>
      <c r="E21" s="1">
        <v>623.19000000000005</v>
      </c>
      <c r="F21" s="4">
        <f t="shared" si="3"/>
        <v>155.79750000000001</v>
      </c>
      <c r="G21" s="4">
        <f t="shared" si="4"/>
        <v>1557.9750000000001</v>
      </c>
      <c r="H21" s="1">
        <v>3139.35</v>
      </c>
      <c r="I21" s="4">
        <f t="shared" si="5"/>
        <v>784.83749999999998</v>
      </c>
      <c r="J21" s="4">
        <f t="shared" si="6"/>
        <v>14127.074999999999</v>
      </c>
      <c r="K21" s="1">
        <f t="shared" si="0"/>
        <v>30918.98</v>
      </c>
      <c r="L21" s="4">
        <f t="shared" si="7"/>
        <v>7729.7449999999999</v>
      </c>
      <c r="M21" s="4">
        <f t="shared" si="8"/>
        <v>4913288.1867996808</v>
      </c>
      <c r="N21" s="1">
        <v>34681.519999999997</v>
      </c>
      <c r="O21" s="4">
        <f t="shared" si="9"/>
        <v>8670.3799999999992</v>
      </c>
      <c r="P21" s="8">
        <f t="shared" si="10"/>
        <v>4928973.2367996806</v>
      </c>
      <c r="Q21" s="9">
        <f t="shared" si="11"/>
        <v>0.56848410759386336</v>
      </c>
      <c r="R21" s="12">
        <v>0.25499304526142375</v>
      </c>
    </row>
    <row r="22" spans="1:18" ht="14" x14ac:dyDescent="0.15">
      <c r="A22" s="1" t="s">
        <v>19</v>
      </c>
      <c r="B22" s="5">
        <v>0</v>
      </c>
      <c r="C22" s="4">
        <f t="shared" si="1"/>
        <v>0</v>
      </c>
      <c r="D22" s="4">
        <f t="shared" si="2"/>
        <v>0</v>
      </c>
      <c r="E22" s="1">
        <v>663.94</v>
      </c>
      <c r="F22" s="4">
        <f t="shared" si="3"/>
        <v>165.98500000000001</v>
      </c>
      <c r="G22" s="4">
        <f t="shared" si="4"/>
        <v>1659.8500000000001</v>
      </c>
      <c r="H22" s="1">
        <v>3087.33</v>
      </c>
      <c r="I22" s="4">
        <f t="shared" si="5"/>
        <v>771.83249999999998</v>
      </c>
      <c r="J22" s="4">
        <f t="shared" si="6"/>
        <v>13892.985000000001</v>
      </c>
      <c r="K22" s="1">
        <f t="shared" si="0"/>
        <v>31122.829999999998</v>
      </c>
      <c r="L22" s="4">
        <f t="shared" si="7"/>
        <v>7780.7074999999995</v>
      </c>
      <c r="M22" s="4">
        <f t="shared" si="8"/>
        <v>4945681.6809213851</v>
      </c>
      <c r="N22" s="1">
        <v>34874.1</v>
      </c>
      <c r="O22" s="4">
        <f t="shared" si="9"/>
        <v>8718.5249999999996</v>
      </c>
      <c r="P22" s="8">
        <f t="shared" si="10"/>
        <v>4961234.515921385</v>
      </c>
      <c r="Q22" s="9">
        <f t="shared" si="11"/>
        <v>0.56904516714941855</v>
      </c>
      <c r="R22" s="12">
        <v>0.25371645707325757</v>
      </c>
    </row>
    <row r="23" spans="1:18" ht="14" x14ac:dyDescent="0.15">
      <c r="A23" s="1" t="s">
        <v>20</v>
      </c>
      <c r="B23" s="5">
        <v>0</v>
      </c>
      <c r="C23" s="4">
        <f t="shared" si="1"/>
        <v>0</v>
      </c>
      <c r="D23" s="4">
        <f t="shared" si="2"/>
        <v>0</v>
      </c>
      <c r="E23" s="1">
        <v>710.51</v>
      </c>
      <c r="F23" s="4">
        <f t="shared" si="3"/>
        <v>177.6275</v>
      </c>
      <c r="G23" s="4">
        <f t="shared" si="4"/>
        <v>1776.2750000000001</v>
      </c>
      <c r="H23" s="1">
        <v>3040.66</v>
      </c>
      <c r="I23" s="4">
        <f t="shared" si="5"/>
        <v>760.16499999999996</v>
      </c>
      <c r="J23" s="4">
        <f t="shared" si="6"/>
        <v>13682.97</v>
      </c>
      <c r="K23" s="1">
        <f t="shared" si="0"/>
        <v>31355.550000000003</v>
      </c>
      <c r="L23" s="4">
        <f t="shared" si="7"/>
        <v>7838.8875000000007</v>
      </c>
      <c r="M23" s="4">
        <f t="shared" si="8"/>
        <v>4982662.8629277786</v>
      </c>
      <c r="N23" s="1">
        <v>35106.720000000001</v>
      </c>
      <c r="O23" s="4">
        <f t="shared" si="9"/>
        <v>8776.68</v>
      </c>
      <c r="P23" s="8">
        <f t="shared" si="10"/>
        <v>4998122.1079277787</v>
      </c>
      <c r="Q23" s="9">
        <f t="shared" si="11"/>
        <v>0.5694775368280236</v>
      </c>
      <c r="R23" s="12">
        <v>0.25765517173345187</v>
      </c>
    </row>
    <row r="24" spans="1:18" ht="14" x14ac:dyDescent="0.15">
      <c r="A24" s="1" t="s">
        <v>21</v>
      </c>
      <c r="B24" s="5">
        <v>0</v>
      </c>
      <c r="C24" s="4">
        <f t="shared" si="1"/>
        <v>0</v>
      </c>
      <c r="D24" s="4">
        <f t="shared" si="2"/>
        <v>0</v>
      </c>
      <c r="E24" s="1">
        <v>756.99</v>
      </c>
      <c r="F24" s="4">
        <f t="shared" si="3"/>
        <v>189.2475</v>
      </c>
      <c r="G24" s="4">
        <f t="shared" si="4"/>
        <v>1892.4749999999999</v>
      </c>
      <c r="H24" s="1">
        <v>2997.43</v>
      </c>
      <c r="I24" s="4">
        <f t="shared" si="5"/>
        <v>749.35749999999996</v>
      </c>
      <c r="J24" s="4">
        <f t="shared" si="6"/>
        <v>13488.434999999999</v>
      </c>
      <c r="K24" s="1">
        <f t="shared" si="0"/>
        <v>31412.02</v>
      </c>
      <c r="L24" s="4">
        <f t="shared" si="7"/>
        <v>7853.0050000000001</v>
      </c>
      <c r="M24" s="4">
        <f t="shared" si="8"/>
        <v>4991636.4249246027</v>
      </c>
      <c r="N24" s="1">
        <v>35166.44</v>
      </c>
      <c r="O24" s="4">
        <f t="shared" si="9"/>
        <v>8791.61</v>
      </c>
      <c r="P24" s="8">
        <f t="shared" si="10"/>
        <v>5007017.3349246019</v>
      </c>
      <c r="Q24" s="9">
        <f t="shared" si="11"/>
        <v>0.5695222302768892</v>
      </c>
      <c r="R24" s="12">
        <v>0.27616642301005312</v>
      </c>
    </row>
    <row r="25" spans="1:18" ht="14" x14ac:dyDescent="0.15">
      <c r="A25" s="1" t="s">
        <v>22</v>
      </c>
      <c r="B25" s="5">
        <v>0</v>
      </c>
      <c r="C25" s="4">
        <f t="shared" si="1"/>
        <v>0</v>
      </c>
      <c r="D25" s="4">
        <f t="shared" si="2"/>
        <v>0</v>
      </c>
      <c r="E25" s="1">
        <v>819.42</v>
      </c>
      <c r="F25" s="4">
        <f t="shared" si="3"/>
        <v>204.85499999999999</v>
      </c>
      <c r="G25" s="4">
        <f t="shared" si="4"/>
        <v>2048.5499999999997</v>
      </c>
      <c r="H25" s="1">
        <v>2996.52</v>
      </c>
      <c r="I25" s="4">
        <f t="shared" si="5"/>
        <v>749.13</v>
      </c>
      <c r="J25" s="4">
        <f t="shared" si="6"/>
        <v>13484.34</v>
      </c>
      <c r="K25" s="1">
        <f t="shared" si="0"/>
        <v>31577.930000000004</v>
      </c>
      <c r="L25" s="4">
        <f t="shared" si="7"/>
        <v>7894.482500000001</v>
      </c>
      <c r="M25" s="4">
        <f t="shared" si="8"/>
        <v>5018000.9312269436</v>
      </c>
      <c r="N25" s="1">
        <v>35393.870000000003</v>
      </c>
      <c r="O25" s="4">
        <f t="shared" si="9"/>
        <v>8848.4675000000007</v>
      </c>
      <c r="P25" s="8">
        <f t="shared" si="10"/>
        <v>5033533.8212269433</v>
      </c>
      <c r="Q25" s="9">
        <f t="shared" si="11"/>
        <v>0.56885938963181404</v>
      </c>
      <c r="R25" s="12">
        <v>0.33202946791572291</v>
      </c>
    </row>
    <row r="26" spans="1:18" ht="14" x14ac:dyDescent="0.15">
      <c r="A26" s="1" t="s">
        <v>23</v>
      </c>
      <c r="B26" s="5">
        <v>0</v>
      </c>
      <c r="C26" s="4">
        <f t="shared" si="1"/>
        <v>0</v>
      </c>
      <c r="D26" s="4">
        <f t="shared" si="2"/>
        <v>0</v>
      </c>
      <c r="E26" s="1">
        <v>880.83</v>
      </c>
      <c r="F26" s="4">
        <f t="shared" si="3"/>
        <v>220.20750000000001</v>
      </c>
      <c r="G26" s="4">
        <f t="shared" si="4"/>
        <v>2202.0750000000003</v>
      </c>
      <c r="H26" s="1">
        <v>2994.96</v>
      </c>
      <c r="I26" s="4">
        <f t="shared" si="5"/>
        <v>748.74</v>
      </c>
      <c r="J26" s="4">
        <f t="shared" si="6"/>
        <v>13477.32</v>
      </c>
      <c r="K26" s="1">
        <f t="shared" si="0"/>
        <v>32054.559999999998</v>
      </c>
      <c r="L26" s="4">
        <f t="shared" si="7"/>
        <v>8013.6399999999994</v>
      </c>
      <c r="M26" s="4">
        <f t="shared" si="8"/>
        <v>5093741.4811569322</v>
      </c>
      <c r="N26" s="1">
        <v>35930.35</v>
      </c>
      <c r="O26" s="4">
        <f t="shared" si="9"/>
        <v>8982.5874999999996</v>
      </c>
      <c r="P26" s="8">
        <f t="shared" si="10"/>
        <v>5109420.8761569327</v>
      </c>
      <c r="Q26" s="9">
        <f t="shared" si="11"/>
        <v>0.56881392763019922</v>
      </c>
      <c r="R26" s="12">
        <v>0.40138480017437689</v>
      </c>
    </row>
    <row r="27" spans="1:18" ht="14" x14ac:dyDescent="0.15">
      <c r="A27" s="1" t="s">
        <v>24</v>
      </c>
      <c r="B27" s="5">
        <v>0</v>
      </c>
      <c r="C27" s="4">
        <f t="shared" si="1"/>
        <v>0</v>
      </c>
      <c r="D27" s="4">
        <f t="shared" si="2"/>
        <v>0</v>
      </c>
      <c r="E27" s="1">
        <v>936.91</v>
      </c>
      <c r="F27" s="4">
        <f t="shared" si="3"/>
        <v>234.22749999999999</v>
      </c>
      <c r="G27" s="4">
        <f t="shared" si="4"/>
        <v>2342.2750000000001</v>
      </c>
      <c r="H27" s="1">
        <v>2996.07</v>
      </c>
      <c r="I27" s="4">
        <f t="shared" si="5"/>
        <v>749.01750000000004</v>
      </c>
      <c r="J27" s="4">
        <f t="shared" si="6"/>
        <v>13482.315000000001</v>
      </c>
      <c r="K27" s="1">
        <f t="shared" si="0"/>
        <v>32320.52</v>
      </c>
      <c r="L27" s="4">
        <f t="shared" si="7"/>
        <v>8080.13</v>
      </c>
      <c r="M27" s="4">
        <f t="shared" si="8"/>
        <v>5136004.7811157685</v>
      </c>
      <c r="N27" s="1">
        <v>36253.5</v>
      </c>
      <c r="O27" s="4">
        <f t="shared" si="9"/>
        <v>9063.375</v>
      </c>
      <c r="P27" s="8">
        <f t="shared" si="10"/>
        <v>5151829.3711157693</v>
      </c>
      <c r="Q27" s="9">
        <f t="shared" si="11"/>
        <v>0.56842284150393974</v>
      </c>
      <c r="R27" s="12">
        <v>0.44468254467061713</v>
      </c>
    </row>
    <row r="28" spans="1:18" ht="14" x14ac:dyDescent="0.15">
      <c r="A28" s="1" t="s">
        <v>25</v>
      </c>
      <c r="B28" s="5">
        <v>0</v>
      </c>
      <c r="C28" s="4">
        <f t="shared" si="1"/>
        <v>0</v>
      </c>
      <c r="D28" s="4">
        <f t="shared" si="2"/>
        <v>0</v>
      </c>
      <c r="E28" s="1">
        <v>1000.19</v>
      </c>
      <c r="F28" s="4">
        <f t="shared" si="3"/>
        <v>250.04750000000001</v>
      </c>
      <c r="G28" s="4">
        <f t="shared" si="4"/>
        <v>2500.4750000000004</v>
      </c>
      <c r="H28" s="1">
        <v>3006.92</v>
      </c>
      <c r="I28" s="4">
        <f t="shared" si="5"/>
        <v>751.73</v>
      </c>
      <c r="J28" s="4">
        <f t="shared" si="6"/>
        <v>13531.14</v>
      </c>
      <c r="K28" s="1">
        <f t="shared" si="0"/>
        <v>32054.95</v>
      </c>
      <c r="L28" s="4">
        <f t="shared" si="7"/>
        <v>8013.7375000000002</v>
      </c>
      <c r="M28" s="4">
        <f t="shared" si="8"/>
        <v>5093803.4554650392</v>
      </c>
      <c r="N28" s="1">
        <v>36062.06</v>
      </c>
      <c r="O28" s="4">
        <f t="shared" si="9"/>
        <v>9015.5149999999994</v>
      </c>
      <c r="P28" s="8">
        <f t="shared" si="10"/>
        <v>5109835.0704650385</v>
      </c>
      <c r="Q28" s="9">
        <f t="shared" si="11"/>
        <v>0.56678238242241719</v>
      </c>
      <c r="R28" s="12">
        <v>0.4472382423299055</v>
      </c>
    </row>
    <row r="29" spans="1:18" ht="14" x14ac:dyDescent="0.15">
      <c r="A29" s="1" t="s">
        <v>26</v>
      </c>
      <c r="B29" s="5">
        <v>0</v>
      </c>
      <c r="C29" s="4">
        <f t="shared" si="1"/>
        <v>0</v>
      </c>
      <c r="D29" s="4">
        <f t="shared" si="2"/>
        <v>0</v>
      </c>
      <c r="E29" s="1">
        <v>1064.07</v>
      </c>
      <c r="F29" s="4">
        <f t="shared" si="3"/>
        <v>266.01749999999998</v>
      </c>
      <c r="G29" s="4">
        <f t="shared" si="4"/>
        <v>2660.1749999999997</v>
      </c>
      <c r="H29" s="1">
        <v>3053.29</v>
      </c>
      <c r="I29" s="4">
        <f t="shared" si="5"/>
        <v>763.32249999999999</v>
      </c>
      <c r="J29" s="4">
        <f t="shared" si="6"/>
        <v>13739.805</v>
      </c>
      <c r="K29" s="1">
        <f t="shared" si="0"/>
        <v>32556.79</v>
      </c>
      <c r="L29" s="4">
        <f t="shared" si="7"/>
        <v>8139.1975000000002</v>
      </c>
      <c r="M29" s="4">
        <f t="shared" si="8"/>
        <v>5173550.0882344106</v>
      </c>
      <c r="N29" s="1">
        <v>36674.15</v>
      </c>
      <c r="O29" s="4">
        <f t="shared" si="9"/>
        <v>9168.5375000000004</v>
      </c>
      <c r="P29" s="8">
        <f t="shared" si="10"/>
        <v>5189950.0682344101</v>
      </c>
      <c r="Q29" s="9">
        <f t="shared" si="11"/>
        <v>0.5660608432080263</v>
      </c>
      <c r="R29" s="12">
        <v>0.4279597146196879</v>
      </c>
    </row>
    <row r="30" spans="1:18" ht="14" x14ac:dyDescent="0.15">
      <c r="A30" s="1" t="s">
        <v>27</v>
      </c>
      <c r="B30" s="5">
        <v>0</v>
      </c>
      <c r="C30" s="4">
        <f t="shared" si="1"/>
        <v>0</v>
      </c>
      <c r="D30" s="4">
        <f t="shared" si="2"/>
        <v>0</v>
      </c>
      <c r="E30" s="1">
        <v>1116.97</v>
      </c>
      <c r="F30" s="4">
        <f t="shared" si="3"/>
        <v>279.24250000000001</v>
      </c>
      <c r="G30" s="4">
        <f t="shared" si="4"/>
        <v>2792.4250000000002</v>
      </c>
      <c r="H30" s="1">
        <v>3099.69</v>
      </c>
      <c r="I30" s="4">
        <f t="shared" si="5"/>
        <v>774.92250000000001</v>
      </c>
      <c r="J30" s="4">
        <f t="shared" si="6"/>
        <v>13948.605</v>
      </c>
      <c r="K30" s="1">
        <f t="shared" si="0"/>
        <v>33071.109999999993</v>
      </c>
      <c r="L30" s="4">
        <f t="shared" si="7"/>
        <v>8267.7774999999983</v>
      </c>
      <c r="M30" s="4">
        <f t="shared" si="8"/>
        <v>5255279.8988631824</v>
      </c>
      <c r="N30" s="1">
        <v>37287.769999999997</v>
      </c>
      <c r="O30" s="4">
        <f t="shared" si="9"/>
        <v>9321.9424999999992</v>
      </c>
      <c r="P30" s="8">
        <f t="shared" si="10"/>
        <v>5272020.9288631827</v>
      </c>
      <c r="Q30" s="9">
        <f t="shared" si="11"/>
        <v>0.5655496082348912</v>
      </c>
      <c r="R30" s="12">
        <v>0.41920843825715803</v>
      </c>
    </row>
    <row r="31" spans="1:18" ht="14" x14ac:dyDescent="0.15">
      <c r="A31" s="1" t="s">
        <v>28</v>
      </c>
      <c r="B31" s="5">
        <v>0</v>
      </c>
      <c r="C31" s="4">
        <f t="shared" si="1"/>
        <v>0</v>
      </c>
      <c r="D31" s="4">
        <f t="shared" si="2"/>
        <v>0</v>
      </c>
      <c r="E31" s="1">
        <v>1171.6300000000001</v>
      </c>
      <c r="F31" s="4">
        <f t="shared" si="3"/>
        <v>292.90750000000003</v>
      </c>
      <c r="G31" s="4">
        <f t="shared" si="4"/>
        <v>2929.0750000000003</v>
      </c>
      <c r="H31" s="1">
        <v>3152.74</v>
      </c>
      <c r="I31" s="4">
        <f t="shared" si="5"/>
        <v>788.18499999999995</v>
      </c>
      <c r="J31" s="4">
        <f t="shared" si="6"/>
        <v>14187.329999999998</v>
      </c>
      <c r="K31" s="1">
        <f t="shared" si="0"/>
        <v>33671.740000000005</v>
      </c>
      <c r="L31" s="4">
        <f t="shared" si="7"/>
        <v>8417.9350000000013</v>
      </c>
      <c r="M31" s="4">
        <f t="shared" si="8"/>
        <v>5350725.1006013229</v>
      </c>
      <c r="N31" s="1">
        <v>37996.11</v>
      </c>
      <c r="O31" s="4">
        <f t="shared" si="9"/>
        <v>9499.0275000000001</v>
      </c>
      <c r="P31" s="8">
        <f t="shared" si="10"/>
        <v>5367841.5056013232</v>
      </c>
      <c r="Q31" s="9">
        <f t="shared" si="11"/>
        <v>0.56509379571764828</v>
      </c>
      <c r="R31" s="12">
        <v>0.41640575696977777</v>
      </c>
    </row>
    <row r="32" spans="1:18" ht="14" x14ac:dyDescent="0.15">
      <c r="A32" s="1" t="s">
        <v>29</v>
      </c>
      <c r="B32" s="5">
        <v>0</v>
      </c>
      <c r="C32" s="4">
        <f t="shared" si="1"/>
        <v>0</v>
      </c>
      <c r="D32" s="4">
        <f t="shared" si="2"/>
        <v>0</v>
      </c>
      <c r="E32" s="1">
        <v>1210.9000000000001</v>
      </c>
      <c r="F32" s="4">
        <f t="shared" si="3"/>
        <v>302.72500000000002</v>
      </c>
      <c r="G32" s="4">
        <f t="shared" si="4"/>
        <v>3027.25</v>
      </c>
      <c r="H32" s="1">
        <v>3214.93</v>
      </c>
      <c r="I32" s="4">
        <f t="shared" si="5"/>
        <v>803.73249999999996</v>
      </c>
      <c r="J32" s="4">
        <f t="shared" si="6"/>
        <v>14467.184999999999</v>
      </c>
      <c r="K32" s="1">
        <f t="shared" si="0"/>
        <v>34308.559999999998</v>
      </c>
      <c r="L32" s="4">
        <f t="shared" si="7"/>
        <v>8577.14</v>
      </c>
      <c r="M32" s="4">
        <f t="shared" si="8"/>
        <v>5451921.2003147593</v>
      </c>
      <c r="N32" s="1">
        <v>38734.39</v>
      </c>
      <c r="O32" s="4">
        <f t="shared" si="9"/>
        <v>9683.5974999999999</v>
      </c>
      <c r="P32" s="8">
        <f t="shared" si="10"/>
        <v>5469415.6353147589</v>
      </c>
      <c r="Q32" s="9">
        <f t="shared" si="11"/>
        <v>0.5648123680599858</v>
      </c>
    </row>
    <row r="33" spans="1:17" ht="14" x14ac:dyDescent="0.15">
      <c r="A33" s="1" t="s">
        <v>30</v>
      </c>
      <c r="B33" s="5">
        <v>3.84</v>
      </c>
      <c r="C33" s="4">
        <f t="shared" si="1"/>
        <v>0.96</v>
      </c>
      <c r="D33" s="4">
        <f t="shared" si="2"/>
        <v>54.72</v>
      </c>
      <c r="E33" s="1">
        <v>1252.3599999999999</v>
      </c>
      <c r="F33" s="4">
        <f t="shared" si="3"/>
        <v>313.08999999999997</v>
      </c>
      <c r="G33" s="4">
        <f t="shared" si="4"/>
        <v>3130.8999999999996</v>
      </c>
      <c r="H33" s="1">
        <v>3248.18</v>
      </c>
      <c r="I33" s="4">
        <f t="shared" si="5"/>
        <v>812.04499999999996</v>
      </c>
      <c r="J33" s="4">
        <f t="shared" si="6"/>
        <v>14616.81</v>
      </c>
      <c r="K33" s="1">
        <f t="shared" si="0"/>
        <v>35462.030000000006</v>
      </c>
      <c r="L33" s="4">
        <f t="shared" si="7"/>
        <v>8865.5075000000015</v>
      </c>
      <c r="M33" s="4">
        <f t="shared" si="8"/>
        <v>5635217.3674207851</v>
      </c>
      <c r="N33" s="1">
        <v>39966.410000000003</v>
      </c>
      <c r="O33" s="4">
        <f t="shared" si="9"/>
        <v>9991.6025000000009</v>
      </c>
      <c r="P33" s="8">
        <f t="shared" si="10"/>
        <v>5653019.7974207848</v>
      </c>
      <c r="Q33" s="9">
        <f t="shared" si="11"/>
        <v>0.5657770910542913</v>
      </c>
    </row>
    <row r="34" spans="1:17" ht="14" x14ac:dyDescent="0.15">
      <c r="A34" s="1" t="s">
        <v>31</v>
      </c>
      <c r="B34" s="5">
        <v>116.18</v>
      </c>
      <c r="C34" s="4">
        <f t="shared" si="1"/>
        <v>29.045000000000002</v>
      </c>
      <c r="D34" s="4">
        <f t="shared" si="2"/>
        <v>1655.5650000000001</v>
      </c>
      <c r="E34" s="1">
        <v>1297.81</v>
      </c>
      <c r="F34" s="4">
        <f t="shared" si="3"/>
        <v>324.45249999999999</v>
      </c>
      <c r="G34" s="4">
        <f t="shared" si="4"/>
        <v>3244.5249999999996</v>
      </c>
      <c r="H34" s="1">
        <v>3281.11</v>
      </c>
      <c r="I34" s="4">
        <f t="shared" si="5"/>
        <v>820.27750000000003</v>
      </c>
      <c r="J34" s="4">
        <f t="shared" si="6"/>
        <v>14764.995000000001</v>
      </c>
      <c r="K34" s="1">
        <f t="shared" si="0"/>
        <v>36040.959999999999</v>
      </c>
      <c r="L34" s="4">
        <f t="shared" si="7"/>
        <v>9010.24</v>
      </c>
      <c r="M34" s="4">
        <f t="shared" si="8"/>
        <v>5727214.255092497</v>
      </c>
      <c r="N34" s="1">
        <v>40736.06</v>
      </c>
      <c r="O34" s="4">
        <f t="shared" si="9"/>
        <v>10184.014999999999</v>
      </c>
      <c r="P34" s="8">
        <f t="shared" si="10"/>
        <v>5746879.3400924979</v>
      </c>
      <c r="Q34" s="9">
        <f t="shared" si="11"/>
        <v>0.56430389586940888</v>
      </c>
    </row>
    <row r="35" spans="1:17" ht="14" x14ac:dyDescent="0.15">
      <c r="A35" s="1" t="s">
        <v>32</v>
      </c>
      <c r="B35" s="5">
        <v>399.33</v>
      </c>
      <c r="C35" s="4">
        <f t="shared" si="1"/>
        <v>99.832499999999996</v>
      </c>
      <c r="D35" s="4">
        <f t="shared" si="2"/>
        <v>5690.4524999999994</v>
      </c>
      <c r="E35" s="1">
        <v>1338.55</v>
      </c>
      <c r="F35" s="4">
        <f t="shared" si="3"/>
        <v>334.63749999999999</v>
      </c>
      <c r="G35" s="4">
        <f t="shared" si="4"/>
        <v>3346.375</v>
      </c>
      <c r="H35" s="1">
        <v>3283.88</v>
      </c>
      <c r="I35" s="4">
        <f t="shared" si="5"/>
        <v>820.97</v>
      </c>
      <c r="J35" s="4">
        <f t="shared" si="6"/>
        <v>14777.460000000001</v>
      </c>
      <c r="K35" s="1">
        <f t="shared" si="0"/>
        <v>36412.11</v>
      </c>
      <c r="L35" s="4">
        <f t="shared" si="7"/>
        <v>9103.0275000000001</v>
      </c>
      <c r="M35" s="4">
        <f t="shared" si="8"/>
        <v>5786193.1383069726</v>
      </c>
      <c r="N35" s="1">
        <v>41433.870000000003</v>
      </c>
      <c r="O35" s="4">
        <f t="shared" si="9"/>
        <v>10358.467500000001</v>
      </c>
      <c r="P35" s="8">
        <f t="shared" si="10"/>
        <v>5810007.4258069722</v>
      </c>
      <c r="Q35" s="9">
        <f t="shared" si="11"/>
        <v>0.56089449774370315</v>
      </c>
    </row>
    <row r="36" spans="1:17" ht="14" x14ac:dyDescent="0.15">
      <c r="A36" s="1" t="s">
        <v>33</v>
      </c>
      <c r="B36" s="5">
        <v>1085.92</v>
      </c>
      <c r="C36" s="4">
        <f t="shared" si="1"/>
        <v>271.48</v>
      </c>
      <c r="D36" s="4">
        <f t="shared" si="2"/>
        <v>15474.36</v>
      </c>
      <c r="E36" s="1">
        <v>1374.16</v>
      </c>
      <c r="F36" s="4">
        <f t="shared" si="3"/>
        <v>343.54</v>
      </c>
      <c r="G36" s="4">
        <f t="shared" si="4"/>
        <v>3435.4</v>
      </c>
      <c r="H36" s="1">
        <v>3282.02</v>
      </c>
      <c r="I36" s="4">
        <f t="shared" si="5"/>
        <v>820.505</v>
      </c>
      <c r="J36" s="4">
        <f t="shared" si="6"/>
        <v>14769.09</v>
      </c>
      <c r="K36" s="1">
        <f t="shared" si="0"/>
        <v>37211.69</v>
      </c>
      <c r="L36" s="4">
        <f t="shared" si="7"/>
        <v>9302.9225000000006</v>
      </c>
      <c r="M36" s="4">
        <f t="shared" si="8"/>
        <v>5913253.1826034309</v>
      </c>
      <c r="N36" s="1">
        <v>42953.79</v>
      </c>
      <c r="O36" s="4">
        <f t="shared" si="9"/>
        <v>10738.4475</v>
      </c>
      <c r="P36" s="8">
        <f t="shared" si="10"/>
        <v>5946932.0326034315</v>
      </c>
      <c r="Q36" s="9">
        <f t="shared" si="11"/>
        <v>0.55379811957021086</v>
      </c>
    </row>
    <row r="37" spans="1:17" ht="14" x14ac:dyDescent="0.15">
      <c r="A37" s="1" t="s">
        <v>34</v>
      </c>
      <c r="B37" s="5">
        <v>2170.5500000000002</v>
      </c>
      <c r="C37" s="4">
        <f t="shared" si="1"/>
        <v>542.63750000000005</v>
      </c>
      <c r="D37" s="4">
        <f t="shared" si="2"/>
        <v>30930.337500000001</v>
      </c>
      <c r="E37" s="1">
        <v>1378.58</v>
      </c>
      <c r="F37" s="4">
        <f t="shared" si="3"/>
        <v>344.64499999999998</v>
      </c>
      <c r="G37" s="4">
        <f t="shared" si="4"/>
        <v>3446.45</v>
      </c>
      <c r="H37" s="1">
        <v>3244.82</v>
      </c>
      <c r="I37" s="4">
        <f t="shared" si="5"/>
        <v>811.20500000000004</v>
      </c>
      <c r="J37" s="4">
        <f t="shared" si="6"/>
        <v>14601.69</v>
      </c>
      <c r="K37" s="1">
        <f t="shared" si="0"/>
        <v>37251.679999999993</v>
      </c>
      <c r="L37" s="4">
        <f t="shared" si="7"/>
        <v>9312.9199999999983</v>
      </c>
      <c r="M37" s="4">
        <f t="shared" si="8"/>
        <v>5919607.9328115573</v>
      </c>
      <c r="N37" s="1">
        <v>44045.63</v>
      </c>
      <c r="O37" s="4">
        <f t="shared" si="9"/>
        <v>11011.407499999999</v>
      </c>
      <c r="P37" s="8">
        <f t="shared" si="10"/>
        <v>5968586.4103115583</v>
      </c>
      <c r="Q37" s="9">
        <f t="shared" si="11"/>
        <v>0.54203664793184325</v>
      </c>
    </row>
    <row r="38" spans="1:17" ht="14" x14ac:dyDescent="0.15">
      <c r="A38" s="1" t="s">
        <v>35</v>
      </c>
      <c r="B38" s="5">
        <v>3575.57</v>
      </c>
      <c r="C38" s="4">
        <f t="shared" si="1"/>
        <v>893.89250000000004</v>
      </c>
      <c r="D38" s="4">
        <f t="shared" si="2"/>
        <v>50951.872500000005</v>
      </c>
      <c r="E38" s="1">
        <v>1373.04</v>
      </c>
      <c r="F38" s="4">
        <f t="shared" si="3"/>
        <v>343.26</v>
      </c>
      <c r="G38" s="4">
        <f t="shared" si="4"/>
        <v>3432.6</v>
      </c>
      <c r="H38" s="1">
        <v>3176.26</v>
      </c>
      <c r="I38" s="4">
        <f t="shared" si="5"/>
        <v>794.06500000000005</v>
      </c>
      <c r="J38" s="4">
        <f t="shared" si="6"/>
        <v>14293.170000000002</v>
      </c>
      <c r="K38" s="1">
        <f t="shared" si="0"/>
        <v>36947.119999999995</v>
      </c>
      <c r="L38" s="4">
        <f t="shared" si="7"/>
        <v>9236.7799999999988</v>
      </c>
      <c r="M38" s="4">
        <f t="shared" si="8"/>
        <v>5871210.7654350242</v>
      </c>
      <c r="N38" s="1">
        <v>45071.99</v>
      </c>
      <c r="O38" s="4">
        <f t="shared" si="9"/>
        <v>11267.997499999999</v>
      </c>
      <c r="P38" s="8">
        <f t="shared" si="10"/>
        <v>5939888.4079350233</v>
      </c>
      <c r="Q38" s="9">
        <f t="shared" si="11"/>
        <v>0.52714676302821539</v>
      </c>
    </row>
    <row r="39" spans="1:17" ht="14" x14ac:dyDescent="0.15">
      <c r="A39" s="1" t="s">
        <v>36</v>
      </c>
      <c r="B39" s="5">
        <v>5234.07</v>
      </c>
      <c r="C39" s="4">
        <f t="shared" si="1"/>
        <v>1308.5174999999999</v>
      </c>
      <c r="D39" s="4">
        <f t="shared" si="2"/>
        <v>74585.497499999998</v>
      </c>
      <c r="E39" s="1">
        <v>1376.66</v>
      </c>
      <c r="F39" s="4">
        <f t="shared" si="3"/>
        <v>344.16500000000002</v>
      </c>
      <c r="G39" s="4">
        <f t="shared" si="4"/>
        <v>3441.65</v>
      </c>
      <c r="H39" s="1">
        <v>3070.69</v>
      </c>
      <c r="I39" s="4">
        <f t="shared" si="5"/>
        <v>767.67250000000001</v>
      </c>
      <c r="J39" s="4">
        <f t="shared" si="6"/>
        <v>13818.105</v>
      </c>
      <c r="K39" s="1">
        <f t="shared" si="0"/>
        <v>36641.269999999997</v>
      </c>
      <c r="L39" s="4">
        <f t="shared" si="7"/>
        <v>9160.3174999999992</v>
      </c>
      <c r="M39" s="4">
        <f t="shared" si="8"/>
        <v>5822608.6061162921</v>
      </c>
      <c r="N39" s="1">
        <v>46322.69</v>
      </c>
      <c r="O39" s="4">
        <f t="shared" si="9"/>
        <v>11580.672500000001</v>
      </c>
      <c r="P39" s="8">
        <f t="shared" si="10"/>
        <v>5914453.8586162925</v>
      </c>
      <c r="Q39" s="9">
        <f t="shared" si="11"/>
        <v>0.510717651208623</v>
      </c>
    </row>
    <row r="40" spans="1:17" ht="14" x14ac:dyDescent="0.15">
      <c r="A40" s="1" t="s">
        <v>37</v>
      </c>
      <c r="B40" s="5">
        <v>7086</v>
      </c>
      <c r="C40" s="4">
        <f t="shared" si="1"/>
        <v>1771.5</v>
      </c>
      <c r="D40" s="4">
        <f t="shared" si="2"/>
        <v>100975.5</v>
      </c>
      <c r="E40" s="1">
        <v>1370.82</v>
      </c>
      <c r="F40" s="4">
        <f t="shared" si="3"/>
        <v>342.70499999999998</v>
      </c>
      <c r="G40" s="4">
        <f t="shared" si="4"/>
        <v>3427.0499999999997</v>
      </c>
      <c r="H40" s="1">
        <v>2912.42</v>
      </c>
      <c r="I40" s="4">
        <f t="shared" si="5"/>
        <v>728.10500000000002</v>
      </c>
      <c r="J40" s="4">
        <f t="shared" si="6"/>
        <v>13105.89</v>
      </c>
      <c r="K40" s="1">
        <f t="shared" ref="K40:K71" si="12">N40-H40-E40-B40</f>
        <v>37086.54</v>
      </c>
      <c r="L40" s="4">
        <f t="shared" si="7"/>
        <v>9271.6350000000002</v>
      </c>
      <c r="M40" s="4">
        <f t="shared" si="8"/>
        <v>5893365.7860406078</v>
      </c>
      <c r="N40" s="1">
        <v>48455.78</v>
      </c>
      <c r="O40" s="4">
        <f t="shared" si="9"/>
        <v>12113.945</v>
      </c>
      <c r="P40" s="8">
        <f t="shared" ref="P40:P71" si="13">M40+J40+G40+D40</f>
        <v>6010874.2260406073</v>
      </c>
      <c r="Q40" s="9">
        <f t="shared" si="11"/>
        <v>0.49619461092489753</v>
      </c>
    </row>
    <row r="41" spans="1:17" ht="14" x14ac:dyDescent="0.15">
      <c r="A41" s="1" t="s">
        <v>38</v>
      </c>
      <c r="B41" s="5">
        <v>9134.32</v>
      </c>
      <c r="C41" s="4">
        <f t="shared" si="1"/>
        <v>2283.58</v>
      </c>
      <c r="D41" s="4">
        <f t="shared" si="2"/>
        <v>130164.06</v>
      </c>
      <c r="E41" s="1">
        <v>1377.97</v>
      </c>
      <c r="F41" s="4">
        <f t="shared" si="3"/>
        <v>344.49250000000001</v>
      </c>
      <c r="G41" s="4">
        <f t="shared" si="4"/>
        <v>3444.9250000000002</v>
      </c>
      <c r="H41" s="1">
        <v>2689.2</v>
      </c>
      <c r="I41" s="4">
        <f t="shared" si="5"/>
        <v>672.3</v>
      </c>
      <c r="J41" s="4">
        <f t="shared" si="6"/>
        <v>12101.4</v>
      </c>
      <c r="K41" s="1">
        <f t="shared" si="12"/>
        <v>36571.300000000003</v>
      </c>
      <c r="L41" s="4">
        <f t="shared" si="7"/>
        <v>9142.8250000000007</v>
      </c>
      <c r="M41" s="4">
        <f t="shared" si="8"/>
        <v>5811489.7796080979</v>
      </c>
      <c r="N41" s="1">
        <v>49772.79</v>
      </c>
      <c r="O41" s="4">
        <f t="shared" si="9"/>
        <v>12443.1975</v>
      </c>
      <c r="P41" s="8">
        <f t="shared" si="13"/>
        <v>5957200.1646080976</v>
      </c>
      <c r="Q41" s="9">
        <f t="shared" si="11"/>
        <v>0.47875155598937469</v>
      </c>
    </row>
    <row r="42" spans="1:17" ht="14" x14ac:dyDescent="0.15">
      <c r="A42" s="1" t="s">
        <v>39</v>
      </c>
      <c r="B42" s="5">
        <v>11352.64</v>
      </c>
      <c r="C42" s="4">
        <f t="shared" si="1"/>
        <v>2838.16</v>
      </c>
      <c r="D42" s="4">
        <f t="shared" si="2"/>
        <v>161775.12</v>
      </c>
      <c r="E42" s="1">
        <v>1372.12</v>
      </c>
      <c r="F42" s="4">
        <f t="shared" si="3"/>
        <v>343.03</v>
      </c>
      <c r="G42" s="4">
        <f t="shared" si="4"/>
        <v>3430.2999999999997</v>
      </c>
      <c r="H42" s="1">
        <v>2464.1</v>
      </c>
      <c r="I42" s="4">
        <f t="shared" si="5"/>
        <v>616.02499999999998</v>
      </c>
      <c r="J42" s="4">
        <f t="shared" si="6"/>
        <v>11088.449999999999</v>
      </c>
      <c r="K42" s="1">
        <f t="shared" si="12"/>
        <v>34938.32</v>
      </c>
      <c r="L42" s="4">
        <f t="shared" si="7"/>
        <v>8734.58</v>
      </c>
      <c r="M42" s="4">
        <f t="shared" si="8"/>
        <v>5551995.406142991</v>
      </c>
      <c r="N42" s="1">
        <v>50127.18</v>
      </c>
      <c r="O42" s="4">
        <f t="shared" si="9"/>
        <v>12531.795</v>
      </c>
      <c r="P42" s="8">
        <f t="shared" si="13"/>
        <v>5728289.2761429911</v>
      </c>
      <c r="Q42" s="9">
        <f t="shared" si="11"/>
        <v>0.45710046135792926</v>
      </c>
    </row>
    <row r="43" spans="1:17" ht="14" x14ac:dyDescent="0.15">
      <c r="A43" s="1" t="s">
        <v>40</v>
      </c>
      <c r="B43" s="5">
        <v>13742.27</v>
      </c>
      <c r="C43" s="4">
        <f t="shared" si="1"/>
        <v>3435.5675000000001</v>
      </c>
      <c r="D43" s="4">
        <f t="shared" si="2"/>
        <v>195827.3475</v>
      </c>
      <c r="E43" s="1">
        <v>1372.34</v>
      </c>
      <c r="F43" s="4">
        <f t="shared" si="3"/>
        <v>343.08499999999998</v>
      </c>
      <c r="G43" s="4">
        <f t="shared" si="4"/>
        <v>3430.85</v>
      </c>
      <c r="H43" s="1">
        <v>2260.5</v>
      </c>
      <c r="I43" s="4">
        <f t="shared" si="5"/>
        <v>565.125</v>
      </c>
      <c r="J43" s="4">
        <f t="shared" si="6"/>
        <v>10172.25</v>
      </c>
      <c r="K43" s="1">
        <f t="shared" si="12"/>
        <v>33668.080000000002</v>
      </c>
      <c r="L43" s="4">
        <f t="shared" si="7"/>
        <v>8417.02</v>
      </c>
      <c r="M43" s="4">
        <f t="shared" si="8"/>
        <v>5350143.4955560174</v>
      </c>
      <c r="N43" s="1">
        <v>51043.19</v>
      </c>
      <c r="O43" s="4">
        <f t="shared" si="9"/>
        <v>12760.797500000001</v>
      </c>
      <c r="P43" s="8">
        <f t="shared" si="13"/>
        <v>5559573.9430560172</v>
      </c>
      <c r="Q43" s="9">
        <f t="shared" si="11"/>
        <v>0.43567605731977305</v>
      </c>
    </row>
    <row r="44" spans="1:17" ht="14" x14ac:dyDescent="0.15">
      <c r="A44" s="1" t="s">
        <v>41</v>
      </c>
      <c r="B44" s="5">
        <v>16216.2</v>
      </c>
      <c r="C44" s="4">
        <f t="shared" si="1"/>
        <v>4054.05</v>
      </c>
      <c r="D44" s="4">
        <f t="shared" si="2"/>
        <v>231080.85</v>
      </c>
      <c r="E44" s="1">
        <v>1374.62</v>
      </c>
      <c r="F44" s="4">
        <f t="shared" si="3"/>
        <v>343.65499999999997</v>
      </c>
      <c r="G44" s="4">
        <f t="shared" si="4"/>
        <v>3436.5499999999997</v>
      </c>
      <c r="H44" s="1">
        <v>2082.08</v>
      </c>
      <c r="I44" s="4">
        <f t="shared" si="5"/>
        <v>520.52</v>
      </c>
      <c r="J44" s="4">
        <f t="shared" si="6"/>
        <v>9369.36</v>
      </c>
      <c r="K44" s="1">
        <f t="shared" si="12"/>
        <v>33608.299999999988</v>
      </c>
      <c r="L44" s="4">
        <f t="shared" si="7"/>
        <v>8402.0749999999971</v>
      </c>
      <c r="M44" s="4">
        <f t="shared" si="8"/>
        <v>5340643.9464826994</v>
      </c>
      <c r="N44" s="1">
        <v>53281.2</v>
      </c>
      <c r="O44" s="4">
        <f t="shared" si="9"/>
        <v>13320.3</v>
      </c>
      <c r="P44" s="8">
        <f t="shared" si="13"/>
        <v>5584530.7064826991</v>
      </c>
      <c r="Q44" s="9">
        <f t="shared" si="11"/>
        <v>0.41924961948925316</v>
      </c>
    </row>
    <row r="45" spans="1:17" ht="14" x14ac:dyDescent="0.15">
      <c r="A45" s="1" t="s">
        <v>42</v>
      </c>
      <c r="B45" s="5">
        <v>18753.03</v>
      </c>
      <c r="C45" s="4">
        <f t="shared" si="1"/>
        <v>4688.2574999999997</v>
      </c>
      <c r="D45" s="4">
        <f t="shared" si="2"/>
        <v>267230.67749999999</v>
      </c>
      <c r="E45" s="1">
        <v>1408.85</v>
      </c>
      <c r="F45" s="4">
        <f t="shared" si="3"/>
        <v>352.21249999999998</v>
      </c>
      <c r="G45" s="4">
        <f t="shared" si="4"/>
        <v>3522.125</v>
      </c>
      <c r="H45" s="1">
        <v>1918.25</v>
      </c>
      <c r="I45" s="4">
        <f t="shared" si="5"/>
        <v>479.5625</v>
      </c>
      <c r="J45" s="4">
        <f t="shared" si="6"/>
        <v>8632.125</v>
      </c>
      <c r="K45" s="1">
        <f t="shared" si="12"/>
        <v>31987.350000000006</v>
      </c>
      <c r="L45" s="4">
        <f t="shared" si="7"/>
        <v>7996.8375000000015</v>
      </c>
      <c r="M45" s="4">
        <f t="shared" si="8"/>
        <v>5083061.2420599516</v>
      </c>
      <c r="N45" s="1">
        <v>54067.48</v>
      </c>
      <c r="O45" s="4">
        <f t="shared" si="9"/>
        <v>13516.87</v>
      </c>
      <c r="P45" s="8">
        <f t="shared" si="13"/>
        <v>5362446.1695599519</v>
      </c>
      <c r="Q45" s="9">
        <f t="shared" si="11"/>
        <v>0.39672247861819721</v>
      </c>
    </row>
    <row r="46" spans="1:17" ht="14" x14ac:dyDescent="0.15">
      <c r="A46" s="1" t="s">
        <v>43</v>
      </c>
      <c r="B46" s="5">
        <v>21293</v>
      </c>
      <c r="C46" s="4">
        <f t="shared" si="1"/>
        <v>5323.25</v>
      </c>
      <c r="D46" s="4">
        <f t="shared" si="2"/>
        <v>303425.25</v>
      </c>
      <c r="E46" s="1">
        <v>1444.1</v>
      </c>
      <c r="F46" s="4">
        <f t="shared" si="3"/>
        <v>361.02499999999998</v>
      </c>
      <c r="G46" s="4">
        <f t="shared" si="4"/>
        <v>3610.25</v>
      </c>
      <c r="H46" s="1">
        <v>1754.82</v>
      </c>
      <c r="I46" s="4">
        <f t="shared" si="5"/>
        <v>438.70499999999998</v>
      </c>
      <c r="J46" s="4">
        <f t="shared" si="6"/>
        <v>7896.69</v>
      </c>
      <c r="K46" s="1">
        <f t="shared" si="12"/>
        <v>30550.950000000004</v>
      </c>
      <c r="L46" s="4">
        <f t="shared" si="7"/>
        <v>7637.7375000000011</v>
      </c>
      <c r="M46" s="4">
        <f t="shared" si="8"/>
        <v>4854805.098050056</v>
      </c>
      <c r="N46" s="1">
        <v>55042.87</v>
      </c>
      <c r="O46" s="4">
        <f t="shared" si="9"/>
        <v>13760.717500000001</v>
      </c>
      <c r="P46" s="8">
        <f t="shared" si="13"/>
        <v>5169737.2880500564</v>
      </c>
      <c r="Q46" s="9">
        <f t="shared" si="11"/>
        <v>0.37568806190883985</v>
      </c>
    </row>
    <row r="47" spans="1:17" ht="14" x14ac:dyDescent="0.15">
      <c r="A47" s="1" t="s">
        <v>44</v>
      </c>
      <c r="B47" s="5">
        <v>23757.99</v>
      </c>
      <c r="C47" s="4">
        <f t="shared" si="1"/>
        <v>5939.4975000000004</v>
      </c>
      <c r="D47" s="4">
        <f t="shared" si="2"/>
        <v>338551.35750000004</v>
      </c>
      <c r="E47" s="1">
        <v>1468.46</v>
      </c>
      <c r="F47" s="4">
        <f t="shared" si="3"/>
        <v>367.11500000000001</v>
      </c>
      <c r="G47" s="4">
        <f t="shared" si="4"/>
        <v>3671.15</v>
      </c>
      <c r="H47" s="1">
        <v>1624.17</v>
      </c>
      <c r="I47" s="4">
        <f t="shared" si="5"/>
        <v>406.04250000000002</v>
      </c>
      <c r="J47" s="4">
        <f t="shared" si="6"/>
        <v>7308.7650000000003</v>
      </c>
      <c r="K47" s="1">
        <f t="shared" si="12"/>
        <v>29378.930000000004</v>
      </c>
      <c r="L47" s="4">
        <f t="shared" si="7"/>
        <v>7344.732500000001</v>
      </c>
      <c r="M47" s="4">
        <f t="shared" si="8"/>
        <v>4668561.178596925</v>
      </c>
      <c r="N47" s="1">
        <v>56229.55</v>
      </c>
      <c r="O47" s="4">
        <f t="shared" si="9"/>
        <v>14057.387500000001</v>
      </c>
      <c r="P47" s="8">
        <f t="shared" si="13"/>
        <v>5018092.451096925</v>
      </c>
      <c r="Q47" s="9">
        <f t="shared" si="11"/>
        <v>0.35697190897646697</v>
      </c>
    </row>
    <row r="48" spans="1:17" ht="14" x14ac:dyDescent="0.15">
      <c r="A48" s="1" t="s">
        <v>45</v>
      </c>
      <c r="B48" s="5">
        <v>26080.59</v>
      </c>
      <c r="C48" s="4">
        <f t="shared" si="1"/>
        <v>6520.1475</v>
      </c>
      <c r="D48" s="4">
        <f t="shared" si="2"/>
        <v>371648.40750000003</v>
      </c>
      <c r="E48" s="1">
        <v>1508.24</v>
      </c>
      <c r="F48" s="4">
        <f t="shared" si="3"/>
        <v>377.06</v>
      </c>
      <c r="G48" s="4">
        <f t="shared" si="4"/>
        <v>3770.6</v>
      </c>
      <c r="H48" s="1">
        <v>1587.76</v>
      </c>
      <c r="I48" s="4">
        <f t="shared" si="5"/>
        <v>396.94</v>
      </c>
      <c r="J48" s="4">
        <f t="shared" si="6"/>
        <v>7144.92</v>
      </c>
      <c r="K48" s="1">
        <f t="shared" si="12"/>
        <v>27331.759999999998</v>
      </c>
      <c r="L48" s="4">
        <f t="shared" si="7"/>
        <v>6832.94</v>
      </c>
      <c r="M48" s="4">
        <f t="shared" si="8"/>
        <v>4343248.500838127</v>
      </c>
      <c r="N48" s="1">
        <v>56508.35</v>
      </c>
      <c r="O48" s="4">
        <f t="shared" si="9"/>
        <v>14127.0875</v>
      </c>
      <c r="P48" s="8">
        <f t="shared" si="13"/>
        <v>4725812.4283381263</v>
      </c>
      <c r="Q48" s="9">
        <f t="shared" si="11"/>
        <v>0.33452135327526827</v>
      </c>
    </row>
    <row r="49" spans="1:17" ht="14" x14ac:dyDescent="0.15">
      <c r="A49" s="1" t="s">
        <v>46</v>
      </c>
      <c r="B49" s="5">
        <v>28269.91</v>
      </c>
      <c r="C49" s="4">
        <f t="shared" si="1"/>
        <v>7067.4775</v>
      </c>
      <c r="D49" s="4">
        <f t="shared" si="2"/>
        <v>402846.21749999997</v>
      </c>
      <c r="E49" s="1">
        <v>1556.72</v>
      </c>
      <c r="F49" s="4">
        <f t="shared" si="3"/>
        <v>389.18</v>
      </c>
      <c r="G49" s="4">
        <f t="shared" si="4"/>
        <v>3891.8</v>
      </c>
      <c r="H49" s="1">
        <v>1686.02</v>
      </c>
      <c r="I49" s="4">
        <f t="shared" si="5"/>
        <v>421.505</v>
      </c>
      <c r="J49" s="4">
        <f t="shared" si="6"/>
        <v>7587.09</v>
      </c>
      <c r="K49" s="1">
        <f t="shared" si="12"/>
        <v>25700.250000000004</v>
      </c>
      <c r="L49" s="4">
        <f t="shared" si="7"/>
        <v>6425.0625000000009</v>
      </c>
      <c r="M49" s="4">
        <f t="shared" si="8"/>
        <v>4083987.7228420377</v>
      </c>
      <c r="N49" s="1">
        <v>57212.9</v>
      </c>
      <c r="O49" s="4">
        <f t="shared" si="9"/>
        <v>14303.225</v>
      </c>
      <c r="P49" s="8">
        <f t="shared" si="13"/>
        <v>4498312.8303420376</v>
      </c>
      <c r="Q49" s="9">
        <f t="shared" si="11"/>
        <v>0.31449640415654773</v>
      </c>
    </row>
    <row r="50" spans="1:17" ht="14" x14ac:dyDescent="0.15">
      <c r="A50" s="1" t="s">
        <v>47</v>
      </c>
      <c r="B50" s="5">
        <v>30196.28</v>
      </c>
      <c r="C50" s="4">
        <f t="shared" si="1"/>
        <v>7549.07</v>
      </c>
      <c r="D50" s="4">
        <f t="shared" si="2"/>
        <v>430296.99</v>
      </c>
      <c r="E50" s="1">
        <v>1598.2</v>
      </c>
      <c r="F50" s="4">
        <f t="shared" si="3"/>
        <v>399.55</v>
      </c>
      <c r="G50" s="4">
        <f t="shared" si="4"/>
        <v>3995.5</v>
      </c>
      <c r="H50" s="1">
        <v>1787.7</v>
      </c>
      <c r="I50" s="4">
        <f t="shared" si="5"/>
        <v>446.92500000000001</v>
      </c>
      <c r="J50" s="4">
        <f t="shared" si="6"/>
        <v>8044.6500000000005</v>
      </c>
      <c r="K50" s="1">
        <f t="shared" si="12"/>
        <v>24629.650000000009</v>
      </c>
      <c r="L50" s="4">
        <f t="shared" si="7"/>
        <v>6157.4125000000022</v>
      </c>
      <c r="M50" s="4">
        <f t="shared" si="8"/>
        <v>3913860.3016661867</v>
      </c>
      <c r="N50" s="1">
        <v>58211.83</v>
      </c>
      <c r="O50" s="4">
        <f t="shared" si="9"/>
        <v>14552.9575</v>
      </c>
      <c r="P50" s="8">
        <f t="shared" si="13"/>
        <v>4356197.4416661868</v>
      </c>
      <c r="Q50" s="9">
        <f t="shared" si="11"/>
        <v>0.29933416913133887</v>
      </c>
    </row>
    <row r="51" spans="1:17" ht="14" x14ac:dyDescent="0.15">
      <c r="A51" s="1" t="s">
        <v>48</v>
      </c>
      <c r="B51" s="5">
        <v>31831.360000000001</v>
      </c>
      <c r="C51" s="4">
        <f t="shared" si="1"/>
        <v>7957.84</v>
      </c>
      <c r="D51" s="4">
        <f t="shared" si="2"/>
        <v>453596.88</v>
      </c>
      <c r="E51" s="1">
        <v>1640.76</v>
      </c>
      <c r="F51" s="4">
        <f t="shared" si="3"/>
        <v>410.19</v>
      </c>
      <c r="G51" s="4">
        <f t="shared" si="4"/>
        <v>4101.8999999999996</v>
      </c>
      <c r="H51" s="1">
        <v>1887.03</v>
      </c>
      <c r="I51" s="4">
        <f t="shared" si="5"/>
        <v>471.75749999999999</v>
      </c>
      <c r="J51" s="4">
        <f t="shared" si="6"/>
        <v>8491.6350000000002</v>
      </c>
      <c r="K51" s="1">
        <f t="shared" si="12"/>
        <v>23539.309999999998</v>
      </c>
      <c r="L51" s="4">
        <f t="shared" si="7"/>
        <v>5884.8274999999994</v>
      </c>
      <c r="M51" s="4">
        <f t="shared" si="8"/>
        <v>3740596.0270492616</v>
      </c>
      <c r="N51" s="1">
        <v>58898.46</v>
      </c>
      <c r="O51" s="4">
        <f t="shared" si="9"/>
        <v>14724.615</v>
      </c>
      <c r="P51" s="8">
        <f t="shared" si="13"/>
        <v>4206786.4420492612</v>
      </c>
      <c r="Q51" s="9">
        <f t="shared" si="11"/>
        <v>0.28569755080518311</v>
      </c>
    </row>
    <row r="52" spans="1:17" ht="14" x14ac:dyDescent="0.15">
      <c r="A52" s="1" t="s">
        <v>49</v>
      </c>
      <c r="B52" s="5">
        <v>33241.440000000002</v>
      </c>
      <c r="C52" s="4">
        <f t="shared" si="1"/>
        <v>8310.36</v>
      </c>
      <c r="D52" s="4">
        <f t="shared" si="2"/>
        <v>473690.52</v>
      </c>
      <c r="E52" s="1">
        <v>1681.46</v>
      </c>
      <c r="F52" s="4">
        <f t="shared" si="3"/>
        <v>420.36500000000001</v>
      </c>
      <c r="G52" s="4">
        <f t="shared" si="4"/>
        <v>4203.6499999999996</v>
      </c>
      <c r="H52" s="1">
        <v>2015.51</v>
      </c>
      <c r="I52" s="4">
        <f t="shared" si="5"/>
        <v>503.8775</v>
      </c>
      <c r="J52" s="4">
        <f t="shared" si="6"/>
        <v>9069.7950000000001</v>
      </c>
      <c r="K52" s="1">
        <f t="shared" si="12"/>
        <v>23024.649999999994</v>
      </c>
      <c r="L52" s="4">
        <f t="shared" si="7"/>
        <v>5756.1624999999985</v>
      </c>
      <c r="M52" s="4">
        <f t="shared" si="8"/>
        <v>3658812.1875364981</v>
      </c>
      <c r="N52" s="1">
        <v>59963.06</v>
      </c>
      <c r="O52" s="4">
        <f t="shared" si="9"/>
        <v>14990.764999999999</v>
      </c>
      <c r="P52" s="8">
        <f t="shared" si="13"/>
        <v>4145776.1525364979</v>
      </c>
      <c r="Q52" s="9">
        <f t="shared" si="11"/>
        <v>0.27655534274178123</v>
      </c>
    </row>
    <row r="53" spans="1:17" ht="14" x14ac:dyDescent="0.15">
      <c r="A53" s="1" t="s">
        <v>50</v>
      </c>
      <c r="B53" s="5">
        <v>34444.74</v>
      </c>
      <c r="C53" s="4">
        <f t="shared" si="1"/>
        <v>8611.1849999999995</v>
      </c>
      <c r="D53" s="4">
        <f t="shared" si="2"/>
        <v>490837.54499999998</v>
      </c>
      <c r="E53" s="1">
        <v>1706.15</v>
      </c>
      <c r="F53" s="4">
        <f t="shared" si="3"/>
        <v>426.53750000000002</v>
      </c>
      <c r="G53" s="4">
        <f t="shared" si="4"/>
        <v>4265.375</v>
      </c>
      <c r="H53" s="1">
        <v>2251.19</v>
      </c>
      <c r="I53" s="4">
        <f t="shared" si="5"/>
        <v>562.79750000000001</v>
      </c>
      <c r="J53" s="4">
        <f t="shared" si="6"/>
        <v>10130.355</v>
      </c>
      <c r="K53" s="1">
        <f t="shared" si="12"/>
        <v>22638.97</v>
      </c>
      <c r="L53" s="4">
        <f t="shared" si="7"/>
        <v>5659.7425000000003</v>
      </c>
      <c r="M53" s="4">
        <f t="shared" si="8"/>
        <v>3597524.3640738591</v>
      </c>
      <c r="N53" s="1">
        <v>61041.05</v>
      </c>
      <c r="O53" s="4">
        <f t="shared" si="9"/>
        <v>15260.262500000001</v>
      </c>
      <c r="P53" s="8">
        <f t="shared" si="13"/>
        <v>4102757.639073859</v>
      </c>
      <c r="Q53" s="9">
        <f t="shared" si="11"/>
        <v>0.26885236338980795</v>
      </c>
    </row>
    <row r="54" spans="1:17" ht="14" x14ac:dyDescent="0.15">
      <c r="A54" s="1" t="s">
        <v>51</v>
      </c>
      <c r="B54" s="5">
        <v>35328.74</v>
      </c>
      <c r="C54" s="4">
        <f t="shared" si="1"/>
        <v>8832.1849999999995</v>
      </c>
      <c r="D54" s="4">
        <f t="shared" si="2"/>
        <v>503434.54499999998</v>
      </c>
      <c r="E54" s="1">
        <v>1728.84</v>
      </c>
      <c r="F54" s="4">
        <f t="shared" si="3"/>
        <v>432.21</v>
      </c>
      <c r="G54" s="4">
        <f t="shared" si="4"/>
        <v>4322.0999999999995</v>
      </c>
      <c r="H54" s="1">
        <v>2480.0100000000002</v>
      </c>
      <c r="I54" s="4">
        <f t="shared" si="5"/>
        <v>620.00250000000005</v>
      </c>
      <c r="J54" s="4">
        <f t="shared" si="6"/>
        <v>11160.045000000002</v>
      </c>
      <c r="K54" s="1">
        <f t="shared" si="12"/>
        <v>22422.960000000006</v>
      </c>
      <c r="L54" s="4">
        <f t="shared" si="7"/>
        <v>5605.7400000000016</v>
      </c>
      <c r="M54" s="4">
        <f t="shared" si="8"/>
        <v>3563198.5428070975</v>
      </c>
      <c r="N54" s="1">
        <v>61960.55</v>
      </c>
      <c r="O54" s="4">
        <f t="shared" si="9"/>
        <v>15490.137500000001</v>
      </c>
      <c r="P54" s="8">
        <f t="shared" si="13"/>
        <v>4082115.2328070975</v>
      </c>
      <c r="Q54" s="9">
        <f t="shared" si="11"/>
        <v>0.26352995464417905</v>
      </c>
    </row>
    <row r="55" spans="1:17" ht="14" x14ac:dyDescent="0.15">
      <c r="A55" s="1" t="s">
        <v>52</v>
      </c>
      <c r="B55" s="5">
        <v>35876.639999999999</v>
      </c>
      <c r="C55" s="4">
        <f t="shared" si="1"/>
        <v>8969.16</v>
      </c>
      <c r="D55" s="4">
        <f t="shared" si="2"/>
        <v>511242.12</v>
      </c>
      <c r="E55" s="1">
        <v>1747.85</v>
      </c>
      <c r="F55" s="4">
        <f t="shared" si="3"/>
        <v>436.96249999999998</v>
      </c>
      <c r="G55" s="4">
        <f t="shared" si="4"/>
        <v>4369.625</v>
      </c>
      <c r="H55" s="1">
        <v>2705.12</v>
      </c>
      <c r="I55" s="4">
        <f t="shared" si="5"/>
        <v>676.28</v>
      </c>
      <c r="J55" s="4">
        <f t="shared" si="6"/>
        <v>12173.039999999999</v>
      </c>
      <c r="K55" s="1">
        <f t="shared" si="12"/>
        <v>22164.739999999998</v>
      </c>
      <c r="L55" s="4">
        <f t="shared" si="7"/>
        <v>5541.1849999999995</v>
      </c>
      <c r="M55" s="4">
        <f t="shared" si="8"/>
        <v>3522165.1945014466</v>
      </c>
      <c r="N55" s="1">
        <v>62494.35</v>
      </c>
      <c r="O55" s="4">
        <f t="shared" si="9"/>
        <v>15623.5875</v>
      </c>
      <c r="P55" s="8">
        <f t="shared" si="13"/>
        <v>4049949.9795014467</v>
      </c>
      <c r="Q55" s="9">
        <f t="shared" si="11"/>
        <v>0.25922023219708318</v>
      </c>
    </row>
    <row r="56" spans="1:17" ht="14" x14ac:dyDescent="0.15">
      <c r="A56" s="1" t="s">
        <v>53</v>
      </c>
      <c r="B56" s="5">
        <v>36188.1</v>
      </c>
      <c r="C56" s="4">
        <f t="shared" si="1"/>
        <v>9047.0249999999996</v>
      </c>
      <c r="D56" s="4">
        <f t="shared" si="2"/>
        <v>515680.42499999999</v>
      </c>
      <c r="E56" s="1">
        <v>1768.39</v>
      </c>
      <c r="F56" s="4">
        <f t="shared" si="3"/>
        <v>442.09750000000003</v>
      </c>
      <c r="G56" s="4">
        <f t="shared" si="4"/>
        <v>4420.9750000000004</v>
      </c>
      <c r="H56" s="1">
        <v>2931.78</v>
      </c>
      <c r="I56" s="4">
        <f t="shared" si="5"/>
        <v>732.94500000000005</v>
      </c>
      <c r="J56" s="4">
        <f t="shared" si="6"/>
        <v>13193.01</v>
      </c>
      <c r="K56" s="1">
        <f t="shared" si="12"/>
        <v>22689.620000000003</v>
      </c>
      <c r="L56" s="4">
        <f t="shared" si="7"/>
        <v>5672.4050000000007</v>
      </c>
      <c r="M56" s="4">
        <f t="shared" si="8"/>
        <v>3605573.0787035595</v>
      </c>
      <c r="N56" s="1">
        <v>63577.89</v>
      </c>
      <c r="O56" s="4">
        <f t="shared" si="9"/>
        <v>15894.4725</v>
      </c>
      <c r="P56" s="8">
        <f t="shared" si="13"/>
        <v>4138867.4887035592</v>
      </c>
      <c r="Q56" s="9">
        <f t="shared" si="11"/>
        <v>0.26039665605156503</v>
      </c>
    </row>
    <row r="57" spans="1:17" ht="14" x14ac:dyDescent="0.15">
      <c r="A57" s="1" t="s">
        <v>54</v>
      </c>
      <c r="B57" s="5">
        <v>36301.75</v>
      </c>
      <c r="C57" s="4">
        <f t="shared" si="1"/>
        <v>9075.4375</v>
      </c>
      <c r="D57" s="4">
        <f t="shared" si="2"/>
        <v>517299.9375</v>
      </c>
      <c r="E57" s="1">
        <v>1815.21</v>
      </c>
      <c r="F57" s="4">
        <f t="shared" si="3"/>
        <v>453.80250000000001</v>
      </c>
      <c r="G57" s="4">
        <f t="shared" si="4"/>
        <v>4538.0249999999996</v>
      </c>
      <c r="H57" s="1">
        <v>3211.15</v>
      </c>
      <c r="I57" s="4">
        <f t="shared" si="5"/>
        <v>802.78750000000002</v>
      </c>
      <c r="J57" s="4">
        <f t="shared" si="6"/>
        <v>14450.175000000001</v>
      </c>
      <c r="K57" s="1">
        <f t="shared" si="12"/>
        <v>22610.559999999998</v>
      </c>
      <c r="L57" s="4">
        <f t="shared" si="7"/>
        <v>5652.6399999999994</v>
      </c>
      <c r="M57" s="4">
        <f t="shared" si="8"/>
        <v>3593009.7740910398</v>
      </c>
      <c r="N57" s="1">
        <v>63938.67</v>
      </c>
      <c r="O57" s="4">
        <f t="shared" si="9"/>
        <v>15984.6675</v>
      </c>
      <c r="P57" s="8">
        <f t="shared" si="13"/>
        <v>4129297.9115910395</v>
      </c>
      <c r="Q57" s="9">
        <f t="shared" si="11"/>
        <v>0.25832867099619305</v>
      </c>
    </row>
    <row r="58" spans="1:17" ht="14" x14ac:dyDescent="0.15">
      <c r="A58" s="1" t="s">
        <v>55</v>
      </c>
      <c r="B58" s="5">
        <v>36207.14</v>
      </c>
      <c r="C58" s="4">
        <f t="shared" si="1"/>
        <v>9051.7849999999999</v>
      </c>
      <c r="D58" s="4">
        <f t="shared" si="2"/>
        <v>515951.745</v>
      </c>
      <c r="E58" s="1">
        <v>1865.02</v>
      </c>
      <c r="F58" s="4">
        <f t="shared" si="3"/>
        <v>466.255</v>
      </c>
      <c r="G58" s="4">
        <f t="shared" si="4"/>
        <v>4662.55</v>
      </c>
      <c r="H58" s="1">
        <v>3485.73</v>
      </c>
      <c r="I58" s="4">
        <f t="shared" si="5"/>
        <v>871.4325</v>
      </c>
      <c r="J58" s="4">
        <f t="shared" si="6"/>
        <v>15685.785</v>
      </c>
      <c r="K58" s="1">
        <f t="shared" si="12"/>
        <v>22676.379999999997</v>
      </c>
      <c r="L58" s="4">
        <f t="shared" si="7"/>
        <v>5669.0949999999993</v>
      </c>
      <c r="M58" s="4">
        <f t="shared" si="8"/>
        <v>3603469.1303975917</v>
      </c>
      <c r="N58" s="1">
        <v>64234.27</v>
      </c>
      <c r="O58" s="4">
        <f t="shared" si="9"/>
        <v>16058.567499999999</v>
      </c>
      <c r="P58" s="8">
        <f t="shared" si="13"/>
        <v>4139769.2103975918</v>
      </c>
      <c r="Q58" s="9">
        <f t="shared" si="11"/>
        <v>0.2577919363229374</v>
      </c>
    </row>
    <row r="59" spans="1:17" ht="14" x14ac:dyDescent="0.15">
      <c r="A59" s="1" t="s">
        <v>56</v>
      </c>
      <c r="B59" s="5">
        <v>35916.57</v>
      </c>
      <c r="C59" s="4">
        <f t="shared" si="1"/>
        <v>8979.1424999999999</v>
      </c>
      <c r="D59" s="4">
        <f t="shared" si="2"/>
        <v>511811.1225</v>
      </c>
      <c r="E59" s="1">
        <v>1907.21</v>
      </c>
      <c r="F59" s="4">
        <f t="shared" si="3"/>
        <v>476.80250000000001</v>
      </c>
      <c r="G59" s="4">
        <f t="shared" si="4"/>
        <v>4768.0249999999996</v>
      </c>
      <c r="H59" s="1">
        <v>3757.93</v>
      </c>
      <c r="I59" s="4">
        <f t="shared" si="5"/>
        <v>939.48249999999996</v>
      </c>
      <c r="J59" s="4">
        <f t="shared" si="6"/>
        <v>16910.684999999998</v>
      </c>
      <c r="K59" s="1">
        <f t="shared" si="12"/>
        <v>22652.510000000002</v>
      </c>
      <c r="L59" s="4">
        <f t="shared" si="7"/>
        <v>5663.1275000000005</v>
      </c>
      <c r="M59" s="4">
        <f t="shared" si="8"/>
        <v>3599675.9849245236</v>
      </c>
      <c r="N59" s="1">
        <v>64234.22</v>
      </c>
      <c r="O59" s="4">
        <f t="shared" si="9"/>
        <v>16058.555</v>
      </c>
      <c r="P59" s="8">
        <f t="shared" si="13"/>
        <v>4133165.8174245236</v>
      </c>
      <c r="Q59" s="9">
        <f t="shared" si="11"/>
        <v>0.25738092981744148</v>
      </c>
    </row>
    <row r="60" spans="1:17" ht="14" x14ac:dyDescent="0.15">
      <c r="A60" s="1" t="s">
        <v>57</v>
      </c>
      <c r="B60" s="5">
        <v>35495.39</v>
      </c>
      <c r="C60" s="4">
        <f t="shared" si="1"/>
        <v>8873.8474999999999</v>
      </c>
      <c r="D60" s="4">
        <f t="shared" si="2"/>
        <v>505809.3075</v>
      </c>
      <c r="E60" s="1">
        <v>1963.05</v>
      </c>
      <c r="F60" s="4">
        <f t="shared" si="3"/>
        <v>490.76249999999999</v>
      </c>
      <c r="G60" s="4">
        <f t="shared" si="4"/>
        <v>4907.625</v>
      </c>
      <c r="H60" s="1">
        <v>4030.98</v>
      </c>
      <c r="I60" s="4">
        <f t="shared" si="5"/>
        <v>1007.745</v>
      </c>
      <c r="J60" s="4">
        <f t="shared" si="6"/>
        <v>18139.41</v>
      </c>
      <c r="K60" s="1">
        <f t="shared" si="12"/>
        <v>22525.009999999995</v>
      </c>
      <c r="L60" s="4">
        <f t="shared" si="7"/>
        <v>5631.2524999999987</v>
      </c>
      <c r="M60" s="4">
        <f t="shared" si="8"/>
        <v>3579415.1534282388</v>
      </c>
      <c r="N60" s="1">
        <v>64014.43</v>
      </c>
      <c r="O60" s="4">
        <f t="shared" si="9"/>
        <v>16003.6075</v>
      </c>
      <c r="P60" s="8">
        <f t="shared" si="13"/>
        <v>4108271.4959282391</v>
      </c>
      <c r="Q60" s="9">
        <f t="shared" si="11"/>
        <v>0.25670908861819053</v>
      </c>
    </row>
    <row r="61" spans="1:17" ht="14" x14ac:dyDescent="0.15">
      <c r="A61" s="1" t="s">
        <v>58</v>
      </c>
      <c r="B61" s="5">
        <v>34986.730000000003</v>
      </c>
      <c r="C61" s="4">
        <f t="shared" si="1"/>
        <v>8746.6825000000008</v>
      </c>
      <c r="D61" s="4">
        <f t="shared" si="2"/>
        <v>498560.90250000003</v>
      </c>
      <c r="E61" s="1">
        <v>2065.62</v>
      </c>
      <c r="F61" s="4">
        <f t="shared" si="3"/>
        <v>516.40499999999997</v>
      </c>
      <c r="G61" s="4">
        <f t="shared" si="4"/>
        <v>5164.0499999999993</v>
      </c>
      <c r="H61" s="1">
        <v>4307.53</v>
      </c>
      <c r="I61" s="4">
        <f t="shared" si="5"/>
        <v>1076.8824999999999</v>
      </c>
      <c r="J61" s="4">
        <f t="shared" si="6"/>
        <v>19383.884999999998</v>
      </c>
      <c r="K61" s="1">
        <f t="shared" si="12"/>
        <v>22260.17</v>
      </c>
      <c r="L61" s="4">
        <f t="shared" si="7"/>
        <v>5565.0424999999996</v>
      </c>
      <c r="M61" s="4">
        <f t="shared" si="8"/>
        <v>3537329.8309696061</v>
      </c>
      <c r="N61" s="1">
        <v>63620.05</v>
      </c>
      <c r="O61" s="4">
        <f t="shared" si="9"/>
        <v>15905.012500000001</v>
      </c>
      <c r="P61" s="8">
        <f t="shared" si="13"/>
        <v>4060438.6684696055</v>
      </c>
      <c r="Q61" s="9">
        <f t="shared" si="11"/>
        <v>0.25529301963576612</v>
      </c>
    </row>
    <row r="62" spans="1:17" ht="14" x14ac:dyDescent="0.15">
      <c r="A62" s="1" t="s">
        <v>59</v>
      </c>
      <c r="B62" s="5">
        <v>34420.550000000003</v>
      </c>
      <c r="C62" s="4">
        <f t="shared" si="1"/>
        <v>8605.1375000000007</v>
      </c>
      <c r="D62" s="4">
        <f t="shared" si="2"/>
        <v>490492.83750000002</v>
      </c>
      <c r="E62" s="1">
        <v>2156.19</v>
      </c>
      <c r="F62" s="4">
        <f t="shared" si="3"/>
        <v>539.04750000000001</v>
      </c>
      <c r="G62" s="4">
        <f t="shared" si="4"/>
        <v>5390.4750000000004</v>
      </c>
      <c r="H62" s="1">
        <v>4580.5600000000004</v>
      </c>
      <c r="I62" s="4">
        <f t="shared" si="5"/>
        <v>1145.1400000000001</v>
      </c>
      <c r="J62" s="4">
        <f t="shared" si="6"/>
        <v>20612.52</v>
      </c>
      <c r="K62" s="1">
        <f t="shared" si="12"/>
        <v>22116.129999999997</v>
      </c>
      <c r="L62" s="4">
        <f t="shared" si="7"/>
        <v>5529.0324999999993</v>
      </c>
      <c r="M62" s="4">
        <f t="shared" si="8"/>
        <v>3514440.653175687</v>
      </c>
      <c r="N62" s="1">
        <v>63273.43</v>
      </c>
      <c r="O62" s="4">
        <f t="shared" si="9"/>
        <v>15818.3575</v>
      </c>
      <c r="P62" s="8">
        <f t="shared" si="13"/>
        <v>4030936.485675687</v>
      </c>
      <c r="Q62" s="9">
        <f t="shared" si="11"/>
        <v>0.25482648787496975</v>
      </c>
    </row>
    <row r="63" spans="1:17" ht="14" x14ac:dyDescent="0.15">
      <c r="A63" s="1" t="s">
        <v>60</v>
      </c>
      <c r="B63" s="5">
        <v>33790.480000000003</v>
      </c>
      <c r="C63" s="4">
        <f t="shared" si="1"/>
        <v>8447.6200000000008</v>
      </c>
      <c r="D63" s="4">
        <f t="shared" si="2"/>
        <v>481514.34</v>
      </c>
      <c r="E63" s="1">
        <v>2244.4</v>
      </c>
      <c r="F63" s="4">
        <f t="shared" si="3"/>
        <v>561.1</v>
      </c>
      <c r="G63" s="4">
        <f t="shared" si="4"/>
        <v>5611</v>
      </c>
      <c r="H63" s="1">
        <v>4862.6400000000003</v>
      </c>
      <c r="I63" s="4">
        <f t="shared" si="5"/>
        <v>1215.6600000000001</v>
      </c>
      <c r="J63" s="4">
        <f t="shared" si="6"/>
        <v>21881.88</v>
      </c>
      <c r="K63" s="1">
        <f t="shared" si="12"/>
        <v>21744.119999999995</v>
      </c>
      <c r="L63" s="4">
        <f t="shared" si="7"/>
        <v>5436.0299999999988</v>
      </c>
      <c r="M63" s="4">
        <f t="shared" si="8"/>
        <v>3455325.108666413</v>
      </c>
      <c r="N63" s="1">
        <v>62641.64</v>
      </c>
      <c r="O63" s="4">
        <f t="shared" si="9"/>
        <v>15660.41</v>
      </c>
      <c r="P63" s="8">
        <f t="shared" si="13"/>
        <v>3964332.3286664127</v>
      </c>
      <c r="Q63" s="9">
        <f t="shared" si="11"/>
        <v>0.25314358491676864</v>
      </c>
    </row>
    <row r="64" spans="1:17" ht="14" x14ac:dyDescent="0.15">
      <c r="A64" s="1" t="s">
        <v>61</v>
      </c>
      <c r="B64" s="5">
        <v>33065.449999999997</v>
      </c>
      <c r="C64" s="4">
        <f t="shared" si="1"/>
        <v>8266.3624999999993</v>
      </c>
      <c r="D64" s="4">
        <f t="shared" si="2"/>
        <v>471182.66249999998</v>
      </c>
      <c r="E64" s="1">
        <v>2334.17</v>
      </c>
      <c r="F64" s="4">
        <f t="shared" si="3"/>
        <v>583.54250000000002</v>
      </c>
      <c r="G64" s="4">
        <f t="shared" si="4"/>
        <v>5835.4250000000002</v>
      </c>
      <c r="H64" s="1">
        <v>5131.26</v>
      </c>
      <c r="I64" s="4">
        <f t="shared" si="5"/>
        <v>1282.8150000000001</v>
      </c>
      <c r="J64" s="4">
        <f t="shared" si="6"/>
        <v>23090.670000000002</v>
      </c>
      <c r="K64" s="1">
        <f t="shared" si="12"/>
        <v>21366.450000000004</v>
      </c>
      <c r="L64" s="4">
        <f t="shared" si="7"/>
        <v>5341.6125000000011</v>
      </c>
      <c r="M64" s="4">
        <f t="shared" si="8"/>
        <v>3395310.1421471876</v>
      </c>
      <c r="N64" s="1">
        <v>61897.33</v>
      </c>
      <c r="O64" s="4">
        <f t="shared" si="9"/>
        <v>15474.3325</v>
      </c>
      <c r="P64" s="8">
        <f t="shared" si="13"/>
        <v>3895418.8996471874</v>
      </c>
      <c r="Q64" s="9">
        <f t="shared" si="11"/>
        <v>0.25173421209911234</v>
      </c>
    </row>
    <row r="65" spans="1:17" ht="14" x14ac:dyDescent="0.15">
      <c r="A65" s="1" t="s">
        <v>62</v>
      </c>
      <c r="B65" s="5">
        <v>32249.14</v>
      </c>
      <c r="C65" s="4">
        <f t="shared" si="1"/>
        <v>8062.2849999999999</v>
      </c>
      <c r="D65" s="4">
        <f t="shared" si="2"/>
        <v>459550.245</v>
      </c>
      <c r="E65" s="1">
        <v>2453.16</v>
      </c>
      <c r="F65" s="4">
        <f t="shared" si="3"/>
        <v>613.29</v>
      </c>
      <c r="G65" s="4">
        <f t="shared" si="4"/>
        <v>6132.9</v>
      </c>
      <c r="H65" s="1">
        <v>5383.65</v>
      </c>
      <c r="I65" s="4">
        <f t="shared" si="5"/>
        <v>1345.9124999999999</v>
      </c>
      <c r="J65" s="4">
        <f t="shared" si="6"/>
        <v>24226.424999999999</v>
      </c>
      <c r="K65" s="1">
        <f t="shared" si="12"/>
        <v>21419.289999999994</v>
      </c>
      <c r="L65" s="4">
        <f t="shared" si="7"/>
        <v>5354.8224999999984</v>
      </c>
      <c r="M65" s="4">
        <f t="shared" si="8"/>
        <v>3403706.8663531751</v>
      </c>
      <c r="N65" s="1">
        <v>61505.24</v>
      </c>
      <c r="O65" s="4">
        <f t="shared" si="9"/>
        <v>15376.31</v>
      </c>
      <c r="P65" s="8">
        <f t="shared" si="13"/>
        <v>3893616.436353175</v>
      </c>
      <c r="Q65" s="9">
        <f t="shared" si="11"/>
        <v>0.25322177013556407</v>
      </c>
    </row>
    <row r="66" spans="1:17" ht="14" x14ac:dyDescent="0.15">
      <c r="A66" s="1" t="s">
        <v>63</v>
      </c>
      <c r="B66" s="5">
        <v>31370.66</v>
      </c>
      <c r="C66" s="4">
        <f t="shared" si="1"/>
        <v>7842.665</v>
      </c>
      <c r="D66" s="4">
        <f t="shared" si="2"/>
        <v>447031.90499999997</v>
      </c>
      <c r="E66" s="1">
        <v>2568.17</v>
      </c>
      <c r="F66" s="4">
        <f t="shared" si="3"/>
        <v>642.04250000000002</v>
      </c>
      <c r="G66" s="4">
        <f t="shared" si="4"/>
        <v>6420.4250000000002</v>
      </c>
      <c r="H66" s="1">
        <v>5627.72</v>
      </c>
      <c r="I66" s="4">
        <f t="shared" si="5"/>
        <v>1406.93</v>
      </c>
      <c r="J66" s="4">
        <f t="shared" si="6"/>
        <v>25324.74</v>
      </c>
      <c r="K66" s="1">
        <f t="shared" si="12"/>
        <v>21381.55</v>
      </c>
      <c r="L66" s="4">
        <f t="shared" si="7"/>
        <v>5345.3874999999998</v>
      </c>
      <c r="M66" s="4">
        <f t="shared" si="8"/>
        <v>3397709.6602302762</v>
      </c>
      <c r="N66" s="1">
        <v>60948.1</v>
      </c>
      <c r="O66" s="4">
        <f t="shared" si="9"/>
        <v>15237.025</v>
      </c>
      <c r="P66" s="8">
        <f t="shared" si="13"/>
        <v>3876486.730230276</v>
      </c>
      <c r="Q66" s="9">
        <f t="shared" si="11"/>
        <v>0.25441231016095833</v>
      </c>
    </row>
    <row r="67" spans="1:17" ht="14" x14ac:dyDescent="0.15">
      <c r="A67" s="1" t="s">
        <v>64</v>
      </c>
      <c r="B67" s="5">
        <v>30446.54</v>
      </c>
      <c r="C67" s="4">
        <f t="shared" si="1"/>
        <v>7611.6350000000002</v>
      </c>
      <c r="D67" s="4">
        <f t="shared" si="2"/>
        <v>433863.19500000001</v>
      </c>
      <c r="E67" s="1">
        <v>2686.36</v>
      </c>
      <c r="F67" s="4">
        <f t="shared" si="3"/>
        <v>671.59</v>
      </c>
      <c r="G67" s="4">
        <f t="shared" si="4"/>
        <v>6715.9000000000005</v>
      </c>
      <c r="H67" s="1">
        <v>5881.28</v>
      </c>
      <c r="I67" s="4">
        <f t="shared" si="5"/>
        <v>1470.32</v>
      </c>
      <c r="J67" s="4">
        <f t="shared" si="6"/>
        <v>26465.759999999998</v>
      </c>
      <c r="K67" s="1">
        <f t="shared" si="12"/>
        <v>21307.739999999998</v>
      </c>
      <c r="L67" s="4">
        <f t="shared" si="7"/>
        <v>5326.9349999999995</v>
      </c>
      <c r="M67" s="4">
        <f t="shared" si="8"/>
        <v>3385980.6251499569</v>
      </c>
      <c r="N67" s="1">
        <v>60321.919999999998</v>
      </c>
      <c r="O67" s="4">
        <f t="shared" si="9"/>
        <v>15080.48</v>
      </c>
      <c r="P67" s="8">
        <f t="shared" si="13"/>
        <v>3853025.4801499564</v>
      </c>
      <c r="Q67" s="9">
        <f t="shared" si="11"/>
        <v>0.2554975358973956</v>
      </c>
    </row>
    <row r="68" spans="1:17" ht="14" x14ac:dyDescent="0.15">
      <c r="A68" s="1" t="s">
        <v>65</v>
      </c>
      <c r="B68" s="5">
        <v>29467.53</v>
      </c>
      <c r="C68" s="4">
        <f t="shared" si="1"/>
        <v>7366.8824999999997</v>
      </c>
      <c r="D68" s="4">
        <f t="shared" si="2"/>
        <v>419912.30249999999</v>
      </c>
      <c r="E68" s="1">
        <v>2803.28</v>
      </c>
      <c r="F68" s="4">
        <f t="shared" si="3"/>
        <v>700.82</v>
      </c>
      <c r="G68" s="4">
        <f t="shared" si="4"/>
        <v>7008.2000000000007</v>
      </c>
      <c r="H68" s="1">
        <v>6175.27</v>
      </c>
      <c r="I68" s="4">
        <f t="shared" si="5"/>
        <v>1543.8175000000001</v>
      </c>
      <c r="J68" s="4">
        <f t="shared" si="6"/>
        <v>27788.715000000004</v>
      </c>
      <c r="K68" s="1">
        <f t="shared" si="12"/>
        <v>20899.240000000005</v>
      </c>
      <c r="L68" s="4">
        <f t="shared" si="7"/>
        <v>5224.8100000000013</v>
      </c>
      <c r="M68" s="4">
        <f t="shared" si="8"/>
        <v>3321066.5101206889</v>
      </c>
      <c r="N68" s="1">
        <v>59345.32</v>
      </c>
      <c r="O68" s="4">
        <f t="shared" si="9"/>
        <v>14836.33</v>
      </c>
      <c r="P68" s="8">
        <f t="shared" si="13"/>
        <v>3775775.7276206892</v>
      </c>
      <c r="Q68" s="9">
        <f t="shared" si="11"/>
        <v>0.25449526450413879</v>
      </c>
    </row>
    <row r="69" spans="1:17" ht="14" x14ac:dyDescent="0.15">
      <c r="A69" s="1" t="s">
        <v>66</v>
      </c>
      <c r="B69" s="5">
        <v>28418.19</v>
      </c>
      <c r="C69" s="4">
        <f t="shared" si="1"/>
        <v>7104.5474999999997</v>
      </c>
      <c r="D69" s="4">
        <f t="shared" si="2"/>
        <v>404959.20749999996</v>
      </c>
      <c r="E69" s="1">
        <v>2939.72</v>
      </c>
      <c r="F69" s="4">
        <f t="shared" si="3"/>
        <v>734.93</v>
      </c>
      <c r="G69" s="4">
        <f t="shared" si="4"/>
        <v>7349.2999999999993</v>
      </c>
      <c r="H69" s="1">
        <v>6496.29</v>
      </c>
      <c r="I69" s="4">
        <f t="shared" si="5"/>
        <v>1624.0725</v>
      </c>
      <c r="J69" s="4">
        <f t="shared" si="6"/>
        <v>29233.305</v>
      </c>
      <c r="K69" s="1">
        <f t="shared" si="12"/>
        <v>20956.2</v>
      </c>
      <c r="L69" s="4">
        <f t="shared" si="7"/>
        <v>5239.05</v>
      </c>
      <c r="M69" s="4">
        <f t="shared" si="8"/>
        <v>3330117.9372738516</v>
      </c>
      <c r="N69" s="1">
        <v>58810.400000000001</v>
      </c>
      <c r="O69" s="4">
        <f t="shared" si="9"/>
        <v>14702.6</v>
      </c>
      <c r="P69" s="8">
        <f t="shared" si="13"/>
        <v>3771659.7497738516</v>
      </c>
      <c r="Q69" s="9">
        <f t="shared" si="11"/>
        <v>0.25653012050751922</v>
      </c>
    </row>
    <row r="70" spans="1:17" ht="14" x14ac:dyDescent="0.15">
      <c r="A70" s="1" t="s">
        <v>67</v>
      </c>
      <c r="B70" s="5">
        <v>27284.29</v>
      </c>
      <c r="C70" s="4">
        <f t="shared" si="1"/>
        <v>6821.0725000000002</v>
      </c>
      <c r="D70" s="4">
        <f t="shared" si="2"/>
        <v>388801.13250000001</v>
      </c>
      <c r="E70" s="1">
        <v>3075.18</v>
      </c>
      <c r="F70" s="4">
        <f t="shared" si="3"/>
        <v>768.79499999999996</v>
      </c>
      <c r="G70" s="4">
        <f t="shared" si="4"/>
        <v>7687.95</v>
      </c>
      <c r="H70" s="1">
        <v>6815.63</v>
      </c>
      <c r="I70" s="4">
        <f t="shared" si="5"/>
        <v>1703.9075</v>
      </c>
      <c r="J70" s="4">
        <f t="shared" si="6"/>
        <v>30670.334999999999</v>
      </c>
      <c r="K70" s="1">
        <f t="shared" si="12"/>
        <v>20963.830000000002</v>
      </c>
      <c r="L70" s="4">
        <f t="shared" si="7"/>
        <v>5240.9575000000004</v>
      </c>
      <c r="M70" s="4">
        <f t="shared" si="8"/>
        <v>3331330.4089939822</v>
      </c>
      <c r="N70" s="1">
        <v>58138.93</v>
      </c>
      <c r="O70" s="4">
        <f t="shared" si="9"/>
        <v>14534.7325</v>
      </c>
      <c r="P70" s="8">
        <f t="shared" si="13"/>
        <v>3758489.8264939822</v>
      </c>
      <c r="Q70" s="9">
        <f t="shared" si="11"/>
        <v>0.2585867903997533</v>
      </c>
    </row>
    <row r="71" spans="1:17" ht="14" x14ac:dyDescent="0.15">
      <c r="A71" s="1" t="s">
        <v>68</v>
      </c>
      <c r="B71" s="5">
        <v>26050.04</v>
      </c>
      <c r="C71" s="4">
        <f t="shared" si="1"/>
        <v>6512.51</v>
      </c>
      <c r="D71" s="4">
        <f t="shared" si="2"/>
        <v>371213.07</v>
      </c>
      <c r="E71" s="1">
        <v>3208.04</v>
      </c>
      <c r="F71" s="4">
        <f t="shared" si="3"/>
        <v>802.01</v>
      </c>
      <c r="G71" s="4">
        <f t="shared" si="4"/>
        <v>8020.1</v>
      </c>
      <c r="H71" s="1">
        <v>7157.76</v>
      </c>
      <c r="I71" s="4">
        <f t="shared" si="5"/>
        <v>1789.44</v>
      </c>
      <c r="J71" s="4">
        <f t="shared" si="6"/>
        <v>32209.920000000002</v>
      </c>
      <c r="K71" s="1">
        <f t="shared" si="12"/>
        <v>20978.479999999996</v>
      </c>
      <c r="L71" s="4">
        <f t="shared" si="7"/>
        <v>5244.619999999999</v>
      </c>
      <c r="M71" s="4">
        <f t="shared" si="8"/>
        <v>3333658.4182600249</v>
      </c>
      <c r="N71" s="1">
        <v>57394.32</v>
      </c>
      <c r="O71" s="4">
        <f t="shared" si="9"/>
        <v>14348.58</v>
      </c>
      <c r="P71" s="8">
        <f t="shared" si="13"/>
        <v>3745101.5082600247</v>
      </c>
      <c r="Q71" s="9">
        <f t="shared" si="11"/>
        <v>0.26100851152239624</v>
      </c>
    </row>
    <row r="72" spans="1:17" ht="14" x14ac:dyDescent="0.15">
      <c r="A72" s="1" t="s">
        <v>69</v>
      </c>
      <c r="B72" s="5">
        <v>24682.54</v>
      </c>
      <c r="C72" s="4">
        <f t="shared" si="1"/>
        <v>6170.6350000000002</v>
      </c>
      <c r="D72" s="4">
        <f t="shared" si="2"/>
        <v>351726.19500000001</v>
      </c>
      <c r="E72" s="1">
        <v>3337.66</v>
      </c>
      <c r="F72" s="4">
        <f t="shared" si="3"/>
        <v>834.41499999999996</v>
      </c>
      <c r="G72" s="4">
        <f t="shared" si="4"/>
        <v>8344.15</v>
      </c>
      <c r="H72" s="1">
        <v>7544.18</v>
      </c>
      <c r="I72" s="4">
        <f t="shared" si="5"/>
        <v>1886.0450000000001</v>
      </c>
      <c r="J72" s="4">
        <f t="shared" si="6"/>
        <v>33948.81</v>
      </c>
      <c r="K72" s="1">
        <f t="shared" ref="K72:K103" si="14">N72-H72-E72-B72</f>
        <v>21463.739999999998</v>
      </c>
      <c r="L72" s="4">
        <f t="shared" si="7"/>
        <v>5365.9349999999995</v>
      </c>
      <c r="M72" s="4">
        <f t="shared" si="8"/>
        <v>3410770.3483924684</v>
      </c>
      <c r="N72" s="1">
        <v>57028.12</v>
      </c>
      <c r="O72" s="4">
        <f t="shared" si="9"/>
        <v>14257.03</v>
      </c>
      <c r="P72" s="8">
        <f t="shared" ref="P72:P103" si="15">M72+J72+G72+D72</f>
        <v>3804789.5033924682</v>
      </c>
      <c r="Q72" s="9">
        <f t="shared" si="11"/>
        <v>0.26687111575078876</v>
      </c>
    </row>
    <row r="73" spans="1:17" ht="14" x14ac:dyDescent="0.15">
      <c r="A73" s="1" t="s">
        <v>70</v>
      </c>
      <c r="B73" s="5">
        <v>23163.14</v>
      </c>
      <c r="C73" s="4">
        <f t="shared" ref="C73:C103" si="16">B73*0.25</f>
        <v>5790.7849999999999</v>
      </c>
      <c r="D73" s="4">
        <f t="shared" ref="D73:D103" si="17">C73*$C$5</f>
        <v>330074.745</v>
      </c>
      <c r="E73" s="1">
        <v>3449.9</v>
      </c>
      <c r="F73" s="4">
        <f t="shared" ref="F73:F103" si="18">E73*0.25</f>
        <v>862.47500000000002</v>
      </c>
      <c r="G73" s="4">
        <f t="shared" ref="G73:G103" si="19">F73*$F$5</f>
        <v>8624.75</v>
      </c>
      <c r="H73" s="1">
        <v>7929.5</v>
      </c>
      <c r="I73" s="4">
        <f t="shared" ref="I73:I103" si="20">H73*0.25</f>
        <v>1982.375</v>
      </c>
      <c r="J73" s="4">
        <f t="shared" ref="J73:J103" si="21">I73*$I$5</f>
        <v>35682.75</v>
      </c>
      <c r="K73" s="1">
        <f t="shared" si="14"/>
        <v>21745.15</v>
      </c>
      <c r="L73" s="4">
        <f t="shared" ref="L73:L103" si="22">K73*0.25</f>
        <v>5436.2875000000004</v>
      </c>
      <c r="M73" s="4">
        <f t="shared" ref="M73:M103" si="23">L73*$L$5</f>
        <v>3455488.7844032072</v>
      </c>
      <c r="N73" s="1">
        <v>56287.69</v>
      </c>
      <c r="O73" s="4">
        <f t="shared" ref="O73:O103" si="24">N73*0.25</f>
        <v>14071.922500000001</v>
      </c>
      <c r="P73" s="8">
        <f t="shared" si="15"/>
        <v>3829871.0294032074</v>
      </c>
      <c r="Q73" s="9">
        <f t="shared" ref="Q73:Q103" si="25">P73/O73/1000</f>
        <v>0.2721640223219825</v>
      </c>
    </row>
    <row r="74" spans="1:17" ht="14" x14ac:dyDescent="0.15">
      <c r="A74" s="1" t="s">
        <v>71</v>
      </c>
      <c r="B74" s="5">
        <v>21507.22</v>
      </c>
      <c r="C74" s="4">
        <f t="shared" si="16"/>
        <v>5376.8050000000003</v>
      </c>
      <c r="D74" s="4">
        <f t="shared" si="17"/>
        <v>306477.88500000001</v>
      </c>
      <c r="E74" s="1">
        <v>3559.13</v>
      </c>
      <c r="F74" s="4">
        <f t="shared" si="18"/>
        <v>889.78250000000003</v>
      </c>
      <c r="G74" s="4">
        <f t="shared" si="19"/>
        <v>8897.8250000000007</v>
      </c>
      <c r="H74" s="1">
        <v>8321.7000000000007</v>
      </c>
      <c r="I74" s="4">
        <f t="shared" si="20"/>
        <v>2080.4250000000002</v>
      </c>
      <c r="J74" s="4">
        <f t="shared" si="21"/>
        <v>37447.65</v>
      </c>
      <c r="K74" s="1">
        <f t="shared" si="14"/>
        <v>22036.400000000001</v>
      </c>
      <c r="L74" s="4">
        <f t="shared" si="22"/>
        <v>5509.1</v>
      </c>
      <c r="M74" s="4">
        <f t="shared" si="23"/>
        <v>3501770.879880012</v>
      </c>
      <c r="N74" s="1">
        <v>55424.45</v>
      </c>
      <c r="O74" s="4">
        <f t="shared" si="24"/>
        <v>13856.112499999999</v>
      </c>
      <c r="P74" s="8">
        <f t="shared" si="15"/>
        <v>3854594.2398800123</v>
      </c>
      <c r="Q74" s="9">
        <f t="shared" si="25"/>
        <v>0.2781872794320927</v>
      </c>
    </row>
    <row r="75" spans="1:17" ht="14" x14ac:dyDescent="0.15">
      <c r="A75" s="1" t="s">
        <v>72</v>
      </c>
      <c r="B75" s="5">
        <v>19734.650000000001</v>
      </c>
      <c r="C75" s="4">
        <f t="shared" si="16"/>
        <v>4933.6625000000004</v>
      </c>
      <c r="D75" s="4">
        <f t="shared" si="17"/>
        <v>281218.76250000001</v>
      </c>
      <c r="E75" s="1">
        <v>3663.79</v>
      </c>
      <c r="F75" s="4">
        <f t="shared" si="18"/>
        <v>915.94749999999999</v>
      </c>
      <c r="G75" s="4">
        <f t="shared" si="19"/>
        <v>9159.4750000000004</v>
      </c>
      <c r="H75" s="1">
        <v>8716.41</v>
      </c>
      <c r="I75" s="4">
        <f t="shared" si="20"/>
        <v>2179.1025</v>
      </c>
      <c r="J75" s="4">
        <f t="shared" si="21"/>
        <v>39223.845000000001</v>
      </c>
      <c r="K75" s="1">
        <f t="shared" si="14"/>
        <v>22725.449999999997</v>
      </c>
      <c r="L75" s="4">
        <f t="shared" si="22"/>
        <v>5681.3624999999993</v>
      </c>
      <c r="M75" s="4">
        <f t="shared" si="23"/>
        <v>3611266.76962522</v>
      </c>
      <c r="N75" s="1">
        <v>54840.3</v>
      </c>
      <c r="O75" s="4">
        <f t="shared" si="24"/>
        <v>13710.075000000001</v>
      </c>
      <c r="P75" s="8">
        <f t="shared" si="15"/>
        <v>3940868.8521252205</v>
      </c>
      <c r="Q75" s="9">
        <f t="shared" si="25"/>
        <v>0.28744327453534868</v>
      </c>
    </row>
    <row r="76" spans="1:17" ht="14" x14ac:dyDescent="0.15">
      <c r="A76" s="1" t="s">
        <v>73</v>
      </c>
      <c r="B76" s="5">
        <v>17853.09</v>
      </c>
      <c r="C76" s="4">
        <f t="shared" si="16"/>
        <v>4463.2725</v>
      </c>
      <c r="D76" s="4">
        <f t="shared" si="17"/>
        <v>254406.5325</v>
      </c>
      <c r="E76" s="1">
        <v>3812.56</v>
      </c>
      <c r="F76" s="4">
        <f t="shared" si="18"/>
        <v>953.14</v>
      </c>
      <c r="G76" s="4">
        <f t="shared" si="19"/>
        <v>9531.4</v>
      </c>
      <c r="H76" s="1">
        <v>9071.84</v>
      </c>
      <c r="I76" s="4">
        <f t="shared" si="20"/>
        <v>2267.96</v>
      </c>
      <c r="J76" s="4">
        <f t="shared" si="21"/>
        <v>40823.279999999999</v>
      </c>
      <c r="K76" s="1">
        <f t="shared" si="14"/>
        <v>25154.219999999998</v>
      </c>
      <c r="L76" s="4">
        <f t="shared" si="22"/>
        <v>6288.5549999999994</v>
      </c>
      <c r="M76" s="4">
        <f t="shared" si="23"/>
        <v>3997218.9242387768</v>
      </c>
      <c r="N76" s="1">
        <v>55891.71</v>
      </c>
      <c r="O76" s="4">
        <f t="shared" si="24"/>
        <v>13972.9275</v>
      </c>
      <c r="P76" s="8">
        <f t="shared" si="15"/>
        <v>4301980.1367387762</v>
      </c>
      <c r="Q76" s="9">
        <f t="shared" si="25"/>
        <v>0.30787965776955306</v>
      </c>
    </row>
    <row r="77" spans="1:17" ht="14" x14ac:dyDescent="0.15">
      <c r="A77" s="1" t="s">
        <v>74</v>
      </c>
      <c r="B77" s="5">
        <v>15850.3</v>
      </c>
      <c r="C77" s="4">
        <f t="shared" si="16"/>
        <v>3962.5749999999998</v>
      </c>
      <c r="D77" s="4">
        <f t="shared" si="17"/>
        <v>225866.77499999999</v>
      </c>
      <c r="E77" s="1">
        <v>3888.1</v>
      </c>
      <c r="F77" s="4">
        <f t="shared" si="18"/>
        <v>972.02499999999998</v>
      </c>
      <c r="G77" s="4">
        <f t="shared" si="19"/>
        <v>9720.25</v>
      </c>
      <c r="H77" s="1">
        <v>9266.5</v>
      </c>
      <c r="I77" s="4">
        <f t="shared" si="20"/>
        <v>2316.625</v>
      </c>
      <c r="J77" s="4">
        <f t="shared" si="21"/>
        <v>41699.25</v>
      </c>
      <c r="K77" s="1">
        <f t="shared" si="14"/>
        <v>26400.430000000004</v>
      </c>
      <c r="L77" s="4">
        <f t="shared" si="22"/>
        <v>6600.107500000001</v>
      </c>
      <c r="M77" s="4">
        <f t="shared" si="23"/>
        <v>4195252.2639955105</v>
      </c>
      <c r="N77" s="1">
        <v>55405.33</v>
      </c>
      <c r="O77" s="4">
        <f t="shared" si="24"/>
        <v>13851.3325</v>
      </c>
      <c r="P77" s="8">
        <f t="shared" si="15"/>
        <v>4472538.5389955109</v>
      </c>
      <c r="Q77" s="9">
        <f t="shared" si="25"/>
        <v>0.32289590470776086</v>
      </c>
    </row>
    <row r="78" spans="1:17" ht="14" x14ac:dyDescent="0.15">
      <c r="A78" s="1" t="s">
        <v>75</v>
      </c>
      <c r="B78" s="5">
        <v>13775.16</v>
      </c>
      <c r="C78" s="4">
        <f t="shared" si="16"/>
        <v>3443.79</v>
      </c>
      <c r="D78" s="4">
        <f t="shared" si="17"/>
        <v>196296.03</v>
      </c>
      <c r="E78" s="1">
        <v>3962.62</v>
      </c>
      <c r="F78" s="4">
        <f t="shared" si="18"/>
        <v>990.65499999999997</v>
      </c>
      <c r="G78" s="4">
        <f t="shared" si="19"/>
        <v>9906.5499999999993</v>
      </c>
      <c r="H78" s="1">
        <v>9467.6</v>
      </c>
      <c r="I78" s="4">
        <f t="shared" si="20"/>
        <v>2366.9</v>
      </c>
      <c r="J78" s="4">
        <f t="shared" si="21"/>
        <v>42604.200000000004</v>
      </c>
      <c r="K78" s="1">
        <f t="shared" si="14"/>
        <v>27749.23</v>
      </c>
      <c r="L78" s="4">
        <f t="shared" si="22"/>
        <v>6937.3074999999999</v>
      </c>
      <c r="M78" s="4">
        <f t="shared" si="23"/>
        <v>4409588.0249538403</v>
      </c>
      <c r="N78" s="1">
        <v>54954.61</v>
      </c>
      <c r="O78" s="4">
        <f t="shared" si="24"/>
        <v>13738.6525</v>
      </c>
      <c r="P78" s="8">
        <f t="shared" si="15"/>
        <v>4658394.8049538406</v>
      </c>
      <c r="Q78" s="9">
        <f t="shared" si="25"/>
        <v>0.3390721764710069</v>
      </c>
    </row>
    <row r="79" spans="1:17" ht="14" x14ac:dyDescent="0.15">
      <c r="A79" s="1" t="s">
        <v>76</v>
      </c>
      <c r="B79" s="5">
        <v>11695.79</v>
      </c>
      <c r="C79" s="4">
        <f t="shared" si="16"/>
        <v>2923.9475000000002</v>
      </c>
      <c r="D79" s="4">
        <f t="shared" si="17"/>
        <v>166665.00750000001</v>
      </c>
      <c r="E79" s="1">
        <v>4030.38</v>
      </c>
      <c r="F79" s="4">
        <f t="shared" si="18"/>
        <v>1007.595</v>
      </c>
      <c r="G79" s="4">
        <f t="shared" si="19"/>
        <v>10075.950000000001</v>
      </c>
      <c r="H79" s="1">
        <v>9669.16</v>
      </c>
      <c r="I79" s="4">
        <f t="shared" si="20"/>
        <v>2417.29</v>
      </c>
      <c r="J79" s="4">
        <f t="shared" si="21"/>
        <v>43511.22</v>
      </c>
      <c r="K79" s="1">
        <f t="shared" si="14"/>
        <v>29626.720000000001</v>
      </c>
      <c r="L79" s="4">
        <f t="shared" si="22"/>
        <v>7406.68</v>
      </c>
      <c r="M79" s="4">
        <f t="shared" si="23"/>
        <v>4707937.1114319377</v>
      </c>
      <c r="N79" s="1">
        <v>55022.05</v>
      </c>
      <c r="O79" s="4">
        <f t="shared" si="24"/>
        <v>13755.512500000001</v>
      </c>
      <c r="P79" s="8">
        <f t="shared" si="15"/>
        <v>4928189.2889319379</v>
      </c>
      <c r="Q79" s="9">
        <f t="shared" si="25"/>
        <v>0.35827013271457081</v>
      </c>
    </row>
    <row r="80" spans="1:17" ht="14" x14ac:dyDescent="0.15">
      <c r="A80" s="1" t="s">
        <v>77</v>
      </c>
      <c r="B80" s="5">
        <v>9666.7000000000007</v>
      </c>
      <c r="C80" s="4">
        <f t="shared" si="16"/>
        <v>2416.6750000000002</v>
      </c>
      <c r="D80" s="4">
        <f t="shared" si="17"/>
        <v>137750.47500000001</v>
      </c>
      <c r="E80" s="1">
        <v>4119.1400000000003</v>
      </c>
      <c r="F80" s="4">
        <f t="shared" si="18"/>
        <v>1029.7850000000001</v>
      </c>
      <c r="G80" s="4">
        <f t="shared" si="19"/>
        <v>10297.85</v>
      </c>
      <c r="H80" s="1">
        <v>9833.84</v>
      </c>
      <c r="I80" s="4">
        <f t="shared" si="20"/>
        <v>2458.46</v>
      </c>
      <c r="J80" s="4">
        <f t="shared" si="21"/>
        <v>44252.28</v>
      </c>
      <c r="K80" s="1">
        <f t="shared" si="14"/>
        <v>31197.249999999996</v>
      </c>
      <c r="L80" s="4">
        <f t="shared" si="22"/>
        <v>7799.3124999999991</v>
      </c>
      <c r="M80" s="4">
        <f t="shared" si="23"/>
        <v>4957507.6501759216</v>
      </c>
      <c r="N80" s="1">
        <v>54816.93</v>
      </c>
      <c r="O80" s="4">
        <f t="shared" si="24"/>
        <v>13704.2325</v>
      </c>
      <c r="P80" s="8">
        <f t="shared" si="15"/>
        <v>5149808.2551759211</v>
      </c>
      <c r="Q80" s="9">
        <f t="shared" si="25"/>
        <v>0.37578231799379652</v>
      </c>
    </row>
    <row r="81" spans="1:17" ht="14" x14ac:dyDescent="0.15">
      <c r="A81" s="1" t="s">
        <v>78</v>
      </c>
      <c r="B81" s="5">
        <v>7710.06</v>
      </c>
      <c r="C81" s="4">
        <f t="shared" si="16"/>
        <v>1927.5150000000001</v>
      </c>
      <c r="D81" s="4">
        <f t="shared" si="17"/>
        <v>109868.35500000001</v>
      </c>
      <c r="E81" s="1">
        <v>4213.9399999999996</v>
      </c>
      <c r="F81" s="4">
        <f t="shared" si="18"/>
        <v>1053.4849999999999</v>
      </c>
      <c r="G81" s="4">
        <f t="shared" si="19"/>
        <v>10534.849999999999</v>
      </c>
      <c r="H81" s="1">
        <v>9819.23</v>
      </c>
      <c r="I81" s="4">
        <f t="shared" si="20"/>
        <v>2454.8074999999999</v>
      </c>
      <c r="J81" s="4">
        <f t="shared" si="21"/>
        <v>44186.534999999996</v>
      </c>
      <c r="K81" s="1">
        <f t="shared" si="14"/>
        <v>32524.969999999998</v>
      </c>
      <c r="L81" s="4">
        <f t="shared" si="22"/>
        <v>8131.2424999999994</v>
      </c>
      <c r="M81" s="4">
        <f t="shared" si="23"/>
        <v>5168493.6203268673</v>
      </c>
      <c r="N81" s="1">
        <v>54268.2</v>
      </c>
      <c r="O81" s="4">
        <f t="shared" si="24"/>
        <v>13567.05</v>
      </c>
      <c r="P81" s="8">
        <f t="shared" si="15"/>
        <v>5333083.3603268676</v>
      </c>
      <c r="Q81" s="9">
        <f t="shared" si="25"/>
        <v>0.39309086060174231</v>
      </c>
    </row>
    <row r="82" spans="1:17" ht="14" x14ac:dyDescent="0.15">
      <c r="A82" s="1" t="s">
        <v>79</v>
      </c>
      <c r="B82" s="5">
        <v>5861.49</v>
      </c>
      <c r="C82" s="4">
        <f t="shared" si="16"/>
        <v>1465.3724999999999</v>
      </c>
      <c r="D82" s="4">
        <f t="shared" si="17"/>
        <v>83526.232499999998</v>
      </c>
      <c r="E82" s="1">
        <v>4311.74</v>
      </c>
      <c r="F82" s="4">
        <f t="shared" si="18"/>
        <v>1077.9349999999999</v>
      </c>
      <c r="G82" s="4">
        <f t="shared" si="19"/>
        <v>10779.349999999999</v>
      </c>
      <c r="H82" s="1">
        <v>9811.06</v>
      </c>
      <c r="I82" s="4">
        <f t="shared" si="20"/>
        <v>2452.7649999999999</v>
      </c>
      <c r="J82" s="4">
        <f t="shared" si="21"/>
        <v>44149.77</v>
      </c>
      <c r="K82" s="1">
        <f t="shared" si="14"/>
        <v>34050.730000000003</v>
      </c>
      <c r="L82" s="4">
        <f t="shared" si="22"/>
        <v>8512.6825000000008</v>
      </c>
      <c r="M82" s="4">
        <f t="shared" si="23"/>
        <v>5410949.8263172172</v>
      </c>
      <c r="N82" s="1">
        <v>54035.02</v>
      </c>
      <c r="O82" s="4">
        <f t="shared" si="24"/>
        <v>13508.754999999999</v>
      </c>
      <c r="P82" s="8">
        <f t="shared" si="15"/>
        <v>5549405.1788172163</v>
      </c>
      <c r="Q82" s="9">
        <f t="shared" si="25"/>
        <v>0.41080063846129544</v>
      </c>
    </row>
    <row r="83" spans="1:17" ht="14" x14ac:dyDescent="0.15">
      <c r="A83" s="1" t="s">
        <v>80</v>
      </c>
      <c r="B83" s="5">
        <v>4197.7700000000004</v>
      </c>
      <c r="C83" s="4">
        <f t="shared" si="16"/>
        <v>1049.4425000000001</v>
      </c>
      <c r="D83" s="4">
        <f t="shared" si="17"/>
        <v>59818.222500000003</v>
      </c>
      <c r="E83" s="1">
        <v>4412.2</v>
      </c>
      <c r="F83" s="4">
        <f t="shared" si="18"/>
        <v>1103.05</v>
      </c>
      <c r="G83" s="4">
        <f t="shared" si="19"/>
        <v>11030.5</v>
      </c>
      <c r="H83" s="1">
        <v>9801.01</v>
      </c>
      <c r="I83" s="4">
        <f t="shared" si="20"/>
        <v>2450.2525000000001</v>
      </c>
      <c r="J83" s="4">
        <f t="shared" si="21"/>
        <v>44104.544999999998</v>
      </c>
      <c r="K83" s="1">
        <f t="shared" si="14"/>
        <v>35185.380000000005</v>
      </c>
      <c r="L83" s="4">
        <f t="shared" si="22"/>
        <v>8796.3450000000012</v>
      </c>
      <c r="M83" s="4">
        <f t="shared" si="23"/>
        <v>5591255.3357859077</v>
      </c>
      <c r="N83" s="1">
        <v>53596.36</v>
      </c>
      <c r="O83" s="4">
        <f t="shared" si="24"/>
        <v>13399.09</v>
      </c>
      <c r="P83" s="8">
        <f t="shared" si="15"/>
        <v>5706208.6032859078</v>
      </c>
      <c r="Q83" s="9">
        <f t="shared" si="25"/>
        <v>0.42586538364067322</v>
      </c>
    </row>
    <row r="84" spans="1:17" ht="14" x14ac:dyDescent="0.15">
      <c r="A84" s="1" t="s">
        <v>81</v>
      </c>
      <c r="B84" s="5">
        <v>2828.86</v>
      </c>
      <c r="C84" s="4">
        <f t="shared" si="16"/>
        <v>707.21500000000003</v>
      </c>
      <c r="D84" s="4">
        <f t="shared" si="17"/>
        <v>40311.255000000005</v>
      </c>
      <c r="E84" s="1">
        <v>4516.3</v>
      </c>
      <c r="F84" s="4">
        <f t="shared" si="18"/>
        <v>1129.075</v>
      </c>
      <c r="G84" s="4">
        <f t="shared" si="19"/>
        <v>11290.75</v>
      </c>
      <c r="H84" s="1">
        <v>9848.31</v>
      </c>
      <c r="I84" s="4">
        <f t="shared" si="20"/>
        <v>2462.0774999999999</v>
      </c>
      <c r="J84" s="4">
        <f t="shared" si="21"/>
        <v>44317.394999999997</v>
      </c>
      <c r="K84" s="1">
        <f t="shared" si="14"/>
        <v>35197.269999999997</v>
      </c>
      <c r="L84" s="4">
        <f t="shared" si="22"/>
        <v>8799.3174999999992</v>
      </c>
      <c r="M84" s="4">
        <f t="shared" si="23"/>
        <v>5593144.7576407362</v>
      </c>
      <c r="N84" s="1">
        <v>52390.74</v>
      </c>
      <c r="O84" s="4">
        <f t="shared" si="24"/>
        <v>13097.684999999999</v>
      </c>
      <c r="P84" s="8">
        <f t="shared" si="15"/>
        <v>5689064.1576407356</v>
      </c>
      <c r="Q84" s="9">
        <f t="shared" si="25"/>
        <v>0.43435646510362219</v>
      </c>
    </row>
    <row r="85" spans="1:17" ht="14" x14ac:dyDescent="0.15">
      <c r="A85" s="1" t="s">
        <v>82</v>
      </c>
      <c r="B85" s="5">
        <v>1760.31</v>
      </c>
      <c r="C85" s="4">
        <f t="shared" si="16"/>
        <v>440.07749999999999</v>
      </c>
      <c r="D85" s="4">
        <f t="shared" si="17"/>
        <v>25084.4175</v>
      </c>
      <c r="E85" s="1">
        <v>4607.09</v>
      </c>
      <c r="F85" s="4">
        <f t="shared" si="18"/>
        <v>1151.7725</v>
      </c>
      <c r="G85" s="4">
        <f t="shared" si="19"/>
        <v>11517.725</v>
      </c>
      <c r="H85" s="1">
        <v>9918.23</v>
      </c>
      <c r="I85" s="4">
        <f t="shared" si="20"/>
        <v>2479.5574999999999</v>
      </c>
      <c r="J85" s="4">
        <f t="shared" si="21"/>
        <v>44632.034999999996</v>
      </c>
      <c r="K85" s="1">
        <f t="shared" si="14"/>
        <v>35772.680000000008</v>
      </c>
      <c r="L85" s="4">
        <f t="shared" si="22"/>
        <v>8943.1700000000019</v>
      </c>
      <c r="M85" s="4">
        <f t="shared" si="23"/>
        <v>5684582.2874546712</v>
      </c>
      <c r="N85" s="1">
        <v>52058.31</v>
      </c>
      <c r="O85" s="4">
        <f t="shared" si="24"/>
        <v>13014.577499999999</v>
      </c>
      <c r="P85" s="8">
        <f t="shared" si="15"/>
        <v>5765816.4649546714</v>
      </c>
      <c r="Q85" s="9">
        <f t="shared" si="25"/>
        <v>0.44302755621184564</v>
      </c>
    </row>
    <row r="86" spans="1:17" ht="14" x14ac:dyDescent="0.15">
      <c r="A86" s="1" t="s">
        <v>83</v>
      </c>
      <c r="B86" s="5">
        <v>947.08</v>
      </c>
      <c r="C86" s="4">
        <f t="shared" si="16"/>
        <v>236.77</v>
      </c>
      <c r="D86" s="4">
        <f t="shared" si="17"/>
        <v>13495.890000000001</v>
      </c>
      <c r="E86" s="1">
        <v>4699.88</v>
      </c>
      <c r="F86" s="4">
        <f t="shared" si="18"/>
        <v>1174.97</v>
      </c>
      <c r="G86" s="4">
        <f t="shared" si="19"/>
        <v>11749.7</v>
      </c>
      <c r="H86" s="1">
        <v>10042.26</v>
      </c>
      <c r="I86" s="4">
        <f t="shared" si="20"/>
        <v>2510.5650000000001</v>
      </c>
      <c r="J86" s="4">
        <f t="shared" si="21"/>
        <v>45190.17</v>
      </c>
      <c r="K86" s="1">
        <f t="shared" si="14"/>
        <v>36377.9</v>
      </c>
      <c r="L86" s="4">
        <f t="shared" si="22"/>
        <v>9094.4750000000004</v>
      </c>
      <c r="M86" s="4">
        <f t="shared" si="23"/>
        <v>5780756.8791266754</v>
      </c>
      <c r="N86" s="1">
        <v>52067.12</v>
      </c>
      <c r="O86" s="4">
        <f t="shared" si="24"/>
        <v>13016.78</v>
      </c>
      <c r="P86" s="8">
        <f t="shared" si="15"/>
        <v>5851192.6391266752</v>
      </c>
      <c r="Q86" s="9">
        <f t="shared" si="25"/>
        <v>0.4495115258248718</v>
      </c>
    </row>
    <row r="87" spans="1:17" ht="14" x14ac:dyDescent="0.15">
      <c r="A87" s="1" t="s">
        <v>84</v>
      </c>
      <c r="B87" s="5">
        <v>370.8</v>
      </c>
      <c r="C87" s="4">
        <f t="shared" si="16"/>
        <v>92.7</v>
      </c>
      <c r="D87" s="4">
        <f t="shared" si="17"/>
        <v>5283.9000000000005</v>
      </c>
      <c r="E87" s="1">
        <v>4790.3900000000003</v>
      </c>
      <c r="F87" s="4">
        <f t="shared" si="18"/>
        <v>1197.5975000000001</v>
      </c>
      <c r="G87" s="4">
        <f t="shared" si="19"/>
        <v>11975.975</v>
      </c>
      <c r="H87" s="1">
        <v>10196.61</v>
      </c>
      <c r="I87" s="4">
        <f t="shared" si="20"/>
        <v>2549.1525000000001</v>
      </c>
      <c r="J87" s="4">
        <f t="shared" si="21"/>
        <v>45884.745000000003</v>
      </c>
      <c r="K87" s="1">
        <f t="shared" si="14"/>
        <v>36379.939999999995</v>
      </c>
      <c r="L87" s="4">
        <f t="shared" si="22"/>
        <v>9094.9849999999988</v>
      </c>
      <c r="M87" s="4">
        <f t="shared" si="23"/>
        <v>5781081.0524306158</v>
      </c>
      <c r="N87" s="1">
        <v>51737.74</v>
      </c>
      <c r="O87" s="4">
        <f t="shared" si="24"/>
        <v>12934.434999999999</v>
      </c>
      <c r="P87" s="8">
        <f t="shared" si="15"/>
        <v>5844225.6724306159</v>
      </c>
      <c r="Q87" s="9">
        <f t="shared" si="25"/>
        <v>0.45183463154212894</v>
      </c>
    </row>
    <row r="88" spans="1:17" ht="14" x14ac:dyDescent="0.15">
      <c r="A88" s="1" t="s">
        <v>85</v>
      </c>
      <c r="B88" s="5">
        <v>67.23</v>
      </c>
      <c r="C88" s="4">
        <f t="shared" si="16"/>
        <v>16.807500000000001</v>
      </c>
      <c r="D88" s="4">
        <f t="shared" si="17"/>
        <v>958.02750000000003</v>
      </c>
      <c r="E88" s="1">
        <v>4866</v>
      </c>
      <c r="F88" s="4">
        <f t="shared" si="18"/>
        <v>1216.5</v>
      </c>
      <c r="G88" s="4">
        <f t="shared" si="19"/>
        <v>12165</v>
      </c>
      <c r="H88" s="1">
        <v>10380.41</v>
      </c>
      <c r="I88" s="4">
        <f t="shared" si="20"/>
        <v>2595.1025</v>
      </c>
      <c r="J88" s="4">
        <f t="shared" si="21"/>
        <v>46711.845000000001</v>
      </c>
      <c r="K88" s="1">
        <f t="shared" si="14"/>
        <v>36966.439999999995</v>
      </c>
      <c r="L88" s="4">
        <f t="shared" si="22"/>
        <v>9241.6099999999988</v>
      </c>
      <c r="M88" s="4">
        <f t="shared" si="23"/>
        <v>5874280.8773135198</v>
      </c>
      <c r="N88" s="1">
        <v>52280.08</v>
      </c>
      <c r="O88" s="4">
        <f t="shared" si="24"/>
        <v>13070.02</v>
      </c>
      <c r="P88" s="8">
        <f t="shared" si="15"/>
        <v>5934115.7498135194</v>
      </c>
      <c r="Q88" s="9">
        <f t="shared" si="25"/>
        <v>0.4540249938265985</v>
      </c>
    </row>
    <row r="89" spans="1:17" ht="14" x14ac:dyDescent="0.15">
      <c r="A89" s="1" t="s">
        <v>86</v>
      </c>
      <c r="B89" s="5">
        <v>9.59</v>
      </c>
      <c r="C89" s="4">
        <f t="shared" si="16"/>
        <v>2.3975</v>
      </c>
      <c r="D89" s="4">
        <f t="shared" si="17"/>
        <v>136.6575</v>
      </c>
      <c r="E89" s="1">
        <v>4907.16</v>
      </c>
      <c r="F89" s="4">
        <f t="shared" si="18"/>
        <v>1226.79</v>
      </c>
      <c r="G89" s="4">
        <f t="shared" si="19"/>
        <v>12267.9</v>
      </c>
      <c r="H89" s="1">
        <v>10595.25</v>
      </c>
      <c r="I89" s="4">
        <f t="shared" si="20"/>
        <v>2648.8125</v>
      </c>
      <c r="J89" s="4">
        <f t="shared" si="21"/>
        <v>47678.625</v>
      </c>
      <c r="K89" s="1">
        <f t="shared" si="14"/>
        <v>36428.510000000009</v>
      </c>
      <c r="L89" s="4">
        <f t="shared" si="22"/>
        <v>9107.1275000000023</v>
      </c>
      <c r="M89" s="4">
        <f t="shared" si="23"/>
        <v>5788799.2374170842</v>
      </c>
      <c r="N89" s="1">
        <v>51940.51</v>
      </c>
      <c r="O89" s="4">
        <f t="shared" si="24"/>
        <v>12985.127500000001</v>
      </c>
      <c r="P89" s="8">
        <f t="shared" si="15"/>
        <v>5848882.4199170843</v>
      </c>
      <c r="Q89" s="9">
        <f t="shared" si="25"/>
        <v>0.45042934079138491</v>
      </c>
    </row>
    <row r="90" spans="1:17" ht="14" x14ac:dyDescent="0.15">
      <c r="A90" s="1" t="s">
        <v>87</v>
      </c>
      <c r="B90" s="5">
        <v>0</v>
      </c>
      <c r="C90" s="4">
        <f t="shared" si="16"/>
        <v>0</v>
      </c>
      <c r="D90" s="4">
        <f t="shared" si="17"/>
        <v>0</v>
      </c>
      <c r="E90" s="1">
        <v>4937.34</v>
      </c>
      <c r="F90" s="4">
        <f t="shared" si="18"/>
        <v>1234.335</v>
      </c>
      <c r="G90" s="4">
        <f t="shared" si="19"/>
        <v>12343.35</v>
      </c>
      <c r="H90" s="1">
        <v>10844.46</v>
      </c>
      <c r="I90" s="4">
        <f t="shared" si="20"/>
        <v>2711.1149999999998</v>
      </c>
      <c r="J90" s="4">
        <f t="shared" si="21"/>
        <v>48800.069999999992</v>
      </c>
      <c r="K90" s="1">
        <f t="shared" si="14"/>
        <v>35674.960000000006</v>
      </c>
      <c r="L90" s="4">
        <f t="shared" si="22"/>
        <v>8918.7400000000016</v>
      </c>
      <c r="M90" s="4">
        <f t="shared" si="23"/>
        <v>5669053.7505619898</v>
      </c>
      <c r="N90" s="1">
        <v>51456.76</v>
      </c>
      <c r="O90" s="4">
        <f t="shared" si="24"/>
        <v>12864.19</v>
      </c>
      <c r="P90" s="8">
        <f t="shared" si="15"/>
        <v>5730197.1705619898</v>
      </c>
      <c r="Q90" s="9">
        <f t="shared" si="25"/>
        <v>0.44543785271843694</v>
      </c>
    </row>
    <row r="91" spans="1:17" ht="14" x14ac:dyDescent="0.15">
      <c r="A91" s="1" t="s">
        <v>88</v>
      </c>
      <c r="B91" s="5">
        <v>0</v>
      </c>
      <c r="C91" s="4">
        <f t="shared" si="16"/>
        <v>0</v>
      </c>
      <c r="D91" s="4">
        <f t="shared" si="17"/>
        <v>0</v>
      </c>
      <c r="E91" s="1">
        <v>4964.6099999999997</v>
      </c>
      <c r="F91" s="4">
        <f t="shared" si="18"/>
        <v>1241.1524999999999</v>
      </c>
      <c r="G91" s="4">
        <f t="shared" si="19"/>
        <v>12411.525</v>
      </c>
      <c r="H91" s="1">
        <v>11134.57</v>
      </c>
      <c r="I91" s="4">
        <f t="shared" si="20"/>
        <v>2783.6424999999999</v>
      </c>
      <c r="J91" s="4">
        <f t="shared" si="21"/>
        <v>50105.565000000002</v>
      </c>
      <c r="K91" s="1">
        <f t="shared" si="14"/>
        <v>34686.58</v>
      </c>
      <c r="L91" s="4">
        <f t="shared" si="22"/>
        <v>8671.6450000000004</v>
      </c>
      <c r="M91" s="4">
        <f t="shared" si="23"/>
        <v>5511991.7848028</v>
      </c>
      <c r="N91" s="1">
        <v>50785.760000000002</v>
      </c>
      <c r="O91" s="4">
        <f t="shared" si="24"/>
        <v>12696.44</v>
      </c>
      <c r="P91" s="8">
        <f t="shared" si="15"/>
        <v>5574508.8748028008</v>
      </c>
      <c r="Q91" s="9">
        <f t="shared" si="25"/>
        <v>0.43906078198320164</v>
      </c>
    </row>
    <row r="92" spans="1:17" ht="14" x14ac:dyDescent="0.15">
      <c r="A92" s="1" t="s">
        <v>89</v>
      </c>
      <c r="B92" s="5">
        <v>0</v>
      </c>
      <c r="C92" s="4">
        <f t="shared" si="16"/>
        <v>0</v>
      </c>
      <c r="D92" s="4">
        <f t="shared" si="17"/>
        <v>0</v>
      </c>
      <c r="E92" s="1">
        <v>4974.95</v>
      </c>
      <c r="F92" s="4">
        <f t="shared" si="18"/>
        <v>1243.7375</v>
      </c>
      <c r="G92" s="4">
        <f t="shared" si="19"/>
        <v>12437.375</v>
      </c>
      <c r="H92" s="1">
        <v>11455.49</v>
      </c>
      <c r="I92" s="4">
        <f t="shared" si="20"/>
        <v>2863.8724999999999</v>
      </c>
      <c r="J92" s="4">
        <f t="shared" si="21"/>
        <v>51549.705000000002</v>
      </c>
      <c r="K92" s="1">
        <f t="shared" si="14"/>
        <v>34597.780000000006</v>
      </c>
      <c r="L92" s="4">
        <f t="shared" si="22"/>
        <v>8649.4450000000015</v>
      </c>
      <c r="M92" s="4">
        <f t="shared" si="23"/>
        <v>5497880.7115724478</v>
      </c>
      <c r="N92" s="1">
        <v>51028.22</v>
      </c>
      <c r="O92" s="4">
        <f t="shared" si="24"/>
        <v>12757.055</v>
      </c>
      <c r="P92" s="8">
        <f t="shared" si="15"/>
        <v>5561867.7915724479</v>
      </c>
      <c r="Q92" s="9">
        <f t="shared" si="25"/>
        <v>0.43598368052598724</v>
      </c>
    </row>
    <row r="93" spans="1:17" ht="14" x14ac:dyDescent="0.15">
      <c r="A93" s="1" t="s">
        <v>90</v>
      </c>
      <c r="B93" s="5">
        <v>0</v>
      </c>
      <c r="C93" s="4">
        <f t="shared" si="16"/>
        <v>0</v>
      </c>
      <c r="D93" s="4">
        <f t="shared" si="17"/>
        <v>0</v>
      </c>
      <c r="E93" s="1">
        <v>4911.3100000000004</v>
      </c>
      <c r="F93" s="4">
        <f t="shared" si="18"/>
        <v>1227.8275000000001</v>
      </c>
      <c r="G93" s="4">
        <f t="shared" si="19"/>
        <v>12278.275000000001</v>
      </c>
      <c r="H93" s="1">
        <v>11751.79</v>
      </c>
      <c r="I93" s="4">
        <f t="shared" si="20"/>
        <v>2937.9475000000002</v>
      </c>
      <c r="J93" s="4">
        <f t="shared" si="21"/>
        <v>52883.055000000008</v>
      </c>
      <c r="K93" s="1">
        <f t="shared" si="14"/>
        <v>33564.959999999999</v>
      </c>
      <c r="L93" s="4">
        <f t="shared" si="22"/>
        <v>8391.24</v>
      </c>
      <c r="M93" s="4">
        <f t="shared" si="23"/>
        <v>5333756.8528587874</v>
      </c>
      <c r="N93" s="1">
        <v>50228.06</v>
      </c>
      <c r="O93" s="4">
        <f t="shared" si="24"/>
        <v>12557.014999999999</v>
      </c>
      <c r="P93" s="8">
        <f t="shared" si="15"/>
        <v>5398918.1828587875</v>
      </c>
      <c r="Q93" s="9">
        <f t="shared" si="25"/>
        <v>0.42995235594277681</v>
      </c>
    </row>
    <row r="94" spans="1:17" ht="14" x14ac:dyDescent="0.15">
      <c r="A94" s="1" t="s">
        <v>91</v>
      </c>
      <c r="B94" s="5">
        <v>0</v>
      </c>
      <c r="C94" s="4">
        <f t="shared" si="16"/>
        <v>0</v>
      </c>
      <c r="D94" s="4">
        <f t="shared" si="17"/>
        <v>0</v>
      </c>
      <c r="E94" s="1">
        <v>4853.67</v>
      </c>
      <c r="F94" s="4">
        <f t="shared" si="18"/>
        <v>1213.4175</v>
      </c>
      <c r="G94" s="4">
        <f t="shared" si="19"/>
        <v>12134.174999999999</v>
      </c>
      <c r="H94" s="1">
        <v>11970.32</v>
      </c>
      <c r="I94" s="4">
        <f t="shared" si="20"/>
        <v>2992.58</v>
      </c>
      <c r="J94" s="4">
        <f t="shared" si="21"/>
        <v>53866.44</v>
      </c>
      <c r="K94" s="1">
        <f t="shared" si="14"/>
        <v>32692.240000000005</v>
      </c>
      <c r="L94" s="4">
        <f t="shared" si="22"/>
        <v>8173.0600000000013</v>
      </c>
      <c r="M94" s="4">
        <f t="shared" si="23"/>
        <v>5195074.2421651687</v>
      </c>
      <c r="N94" s="1">
        <v>49516.23</v>
      </c>
      <c r="O94" s="4">
        <f t="shared" si="24"/>
        <v>12379.057500000001</v>
      </c>
      <c r="P94" s="8">
        <f t="shared" si="15"/>
        <v>5261074.857165169</v>
      </c>
      <c r="Q94" s="9">
        <f t="shared" si="25"/>
        <v>0.42499801436136547</v>
      </c>
    </row>
    <row r="95" spans="1:17" ht="14" x14ac:dyDescent="0.15">
      <c r="A95" s="1" t="s">
        <v>92</v>
      </c>
      <c r="B95" s="5">
        <v>0</v>
      </c>
      <c r="C95" s="4">
        <f t="shared" si="16"/>
        <v>0</v>
      </c>
      <c r="D95" s="4">
        <f t="shared" si="17"/>
        <v>0</v>
      </c>
      <c r="E95" s="1">
        <v>4783.37</v>
      </c>
      <c r="F95" s="4">
        <f t="shared" si="18"/>
        <v>1195.8425</v>
      </c>
      <c r="G95" s="4">
        <f t="shared" si="19"/>
        <v>11958.424999999999</v>
      </c>
      <c r="H95" s="1">
        <v>12120.3</v>
      </c>
      <c r="I95" s="4">
        <f t="shared" si="20"/>
        <v>3030.0749999999998</v>
      </c>
      <c r="J95" s="4">
        <f t="shared" si="21"/>
        <v>54541.35</v>
      </c>
      <c r="K95" s="1">
        <f t="shared" si="14"/>
        <v>31895.24</v>
      </c>
      <c r="L95" s="4">
        <f t="shared" si="22"/>
        <v>7973.81</v>
      </c>
      <c r="M95" s="4">
        <f t="shared" si="23"/>
        <v>5068424.1817531064</v>
      </c>
      <c r="N95" s="1">
        <v>48798.91</v>
      </c>
      <c r="O95" s="4">
        <f t="shared" si="24"/>
        <v>12199.727500000001</v>
      </c>
      <c r="P95" s="8">
        <f t="shared" si="15"/>
        <v>5134923.9567531059</v>
      </c>
      <c r="Q95" s="9">
        <f t="shared" si="25"/>
        <v>0.42090480764862215</v>
      </c>
    </row>
    <row r="96" spans="1:17" ht="14" x14ac:dyDescent="0.15">
      <c r="A96" s="1" t="s">
        <v>93</v>
      </c>
      <c r="B96" s="5">
        <v>0</v>
      </c>
      <c r="C96" s="4">
        <f t="shared" si="16"/>
        <v>0</v>
      </c>
      <c r="D96" s="4">
        <f t="shared" si="17"/>
        <v>0</v>
      </c>
      <c r="E96" s="1">
        <v>4739.24</v>
      </c>
      <c r="F96" s="4">
        <f t="shared" si="18"/>
        <v>1184.81</v>
      </c>
      <c r="G96" s="4">
        <f t="shared" si="19"/>
        <v>11848.099999999999</v>
      </c>
      <c r="H96" s="1">
        <v>12103.26</v>
      </c>
      <c r="I96" s="4">
        <f t="shared" si="20"/>
        <v>3025.8150000000001</v>
      </c>
      <c r="J96" s="4">
        <f t="shared" si="21"/>
        <v>54464.67</v>
      </c>
      <c r="K96" s="1">
        <f t="shared" si="14"/>
        <v>31870.17</v>
      </c>
      <c r="L96" s="4">
        <f t="shared" si="22"/>
        <v>7967.5424999999996</v>
      </c>
      <c r="M96" s="4">
        <f t="shared" si="23"/>
        <v>5064440.3461012477</v>
      </c>
      <c r="N96" s="1">
        <v>48712.67</v>
      </c>
      <c r="O96" s="4">
        <f t="shared" si="24"/>
        <v>12178.1675</v>
      </c>
      <c r="P96" s="8">
        <f t="shared" si="15"/>
        <v>5130753.1161012473</v>
      </c>
      <c r="Q96" s="9">
        <f t="shared" si="25"/>
        <v>0.42130748457033851</v>
      </c>
    </row>
    <row r="97" spans="1:17" ht="14" x14ac:dyDescent="0.15">
      <c r="A97" s="1" t="s">
        <v>94</v>
      </c>
      <c r="B97" s="5">
        <v>0</v>
      </c>
      <c r="C97" s="4">
        <f t="shared" si="16"/>
        <v>0</v>
      </c>
      <c r="D97" s="4">
        <f t="shared" si="17"/>
        <v>0</v>
      </c>
      <c r="E97" s="1">
        <v>4589.97</v>
      </c>
      <c r="F97" s="4">
        <f t="shared" si="18"/>
        <v>1147.4925000000001</v>
      </c>
      <c r="G97" s="4">
        <f t="shared" si="19"/>
        <v>11474.925000000001</v>
      </c>
      <c r="H97" s="1">
        <v>12145.05</v>
      </c>
      <c r="I97" s="4">
        <f t="shared" si="20"/>
        <v>3036.2624999999998</v>
      </c>
      <c r="J97" s="4">
        <f t="shared" si="21"/>
        <v>54652.724999999999</v>
      </c>
      <c r="K97" s="1">
        <f t="shared" si="14"/>
        <v>31612.67</v>
      </c>
      <c r="L97" s="4">
        <f t="shared" si="22"/>
        <v>7903.1674999999996</v>
      </c>
      <c r="M97" s="4">
        <f t="shared" si="23"/>
        <v>5023521.4119028719</v>
      </c>
      <c r="N97" s="1">
        <v>48347.69</v>
      </c>
      <c r="O97" s="4">
        <f t="shared" si="24"/>
        <v>12086.922500000001</v>
      </c>
      <c r="P97" s="8">
        <f t="shared" si="15"/>
        <v>5089649.0619028714</v>
      </c>
      <c r="Q97" s="9">
        <f t="shared" si="25"/>
        <v>0.42108725872138841</v>
      </c>
    </row>
    <row r="98" spans="1:17" ht="14" x14ac:dyDescent="0.15">
      <c r="A98" s="1" t="s">
        <v>95</v>
      </c>
      <c r="B98" s="5">
        <v>0</v>
      </c>
      <c r="C98" s="4">
        <f t="shared" si="16"/>
        <v>0</v>
      </c>
      <c r="D98" s="4">
        <f t="shared" si="17"/>
        <v>0</v>
      </c>
      <c r="E98" s="1">
        <v>4440.6899999999996</v>
      </c>
      <c r="F98" s="4">
        <f t="shared" si="18"/>
        <v>1110.1724999999999</v>
      </c>
      <c r="G98" s="4">
        <f t="shared" si="19"/>
        <v>11101.724999999999</v>
      </c>
      <c r="H98" s="1">
        <v>12204.03</v>
      </c>
      <c r="I98" s="4">
        <f t="shared" si="20"/>
        <v>3051.0075000000002</v>
      </c>
      <c r="J98" s="4">
        <f t="shared" si="21"/>
        <v>54918.135000000002</v>
      </c>
      <c r="K98" s="1">
        <f t="shared" si="14"/>
        <v>30757.41</v>
      </c>
      <c r="L98" s="4">
        <f t="shared" si="22"/>
        <v>7689.3525</v>
      </c>
      <c r="M98" s="4">
        <f t="shared" si="23"/>
        <v>4887613.3433106253</v>
      </c>
      <c r="N98" s="1">
        <v>47402.13</v>
      </c>
      <c r="O98" s="4">
        <f t="shared" si="24"/>
        <v>11850.532499999999</v>
      </c>
      <c r="P98" s="8">
        <f t="shared" si="15"/>
        <v>4953633.2033106247</v>
      </c>
      <c r="Q98" s="9">
        <f t="shared" si="25"/>
        <v>0.4180093344590739</v>
      </c>
    </row>
    <row r="99" spans="1:17" ht="14" x14ac:dyDescent="0.15">
      <c r="A99" s="1" t="s">
        <v>96</v>
      </c>
      <c r="B99" s="5">
        <v>0</v>
      </c>
      <c r="C99" s="4">
        <f t="shared" si="16"/>
        <v>0</v>
      </c>
      <c r="D99" s="4">
        <f t="shared" si="17"/>
        <v>0</v>
      </c>
      <c r="E99" s="1">
        <v>4301.0200000000004</v>
      </c>
      <c r="F99" s="4">
        <f t="shared" si="18"/>
        <v>1075.2550000000001</v>
      </c>
      <c r="G99" s="4">
        <f t="shared" si="19"/>
        <v>10752.550000000001</v>
      </c>
      <c r="H99" s="1">
        <v>12214.23</v>
      </c>
      <c r="I99" s="4">
        <f t="shared" si="20"/>
        <v>3053.5574999999999</v>
      </c>
      <c r="J99" s="4">
        <f t="shared" si="21"/>
        <v>54964.034999999996</v>
      </c>
      <c r="K99" s="1">
        <f t="shared" si="14"/>
        <v>30175.390000000003</v>
      </c>
      <c r="L99" s="4">
        <f t="shared" si="22"/>
        <v>7543.8475000000008</v>
      </c>
      <c r="M99" s="4">
        <f t="shared" si="23"/>
        <v>4795125.4284285326</v>
      </c>
      <c r="N99" s="1">
        <v>46690.64</v>
      </c>
      <c r="O99" s="4">
        <f t="shared" si="24"/>
        <v>11672.66</v>
      </c>
      <c r="P99" s="8">
        <f t="shared" si="15"/>
        <v>4860842.0134285325</v>
      </c>
      <c r="Q99" s="9">
        <f t="shared" si="25"/>
        <v>0.41642967527783148</v>
      </c>
    </row>
    <row r="100" spans="1:17" ht="14" x14ac:dyDescent="0.15">
      <c r="A100" s="1" t="s">
        <v>97</v>
      </c>
      <c r="B100" s="5">
        <v>0</v>
      </c>
      <c r="C100" s="4">
        <f t="shared" si="16"/>
        <v>0</v>
      </c>
      <c r="D100" s="4">
        <f t="shared" si="17"/>
        <v>0</v>
      </c>
      <c r="E100" s="1">
        <v>4147.62</v>
      </c>
      <c r="F100" s="4">
        <f t="shared" si="18"/>
        <v>1036.905</v>
      </c>
      <c r="G100" s="4">
        <f t="shared" si="19"/>
        <v>10369.049999999999</v>
      </c>
      <c r="H100" s="1">
        <v>12134.95</v>
      </c>
      <c r="I100" s="4">
        <f t="shared" si="20"/>
        <v>3033.7375000000002</v>
      </c>
      <c r="J100" s="4">
        <f t="shared" si="21"/>
        <v>54607.275000000001</v>
      </c>
      <c r="K100" s="1">
        <f t="shared" si="14"/>
        <v>29249.969999999998</v>
      </c>
      <c r="L100" s="4">
        <f t="shared" si="22"/>
        <v>7312.4924999999994</v>
      </c>
      <c r="M100" s="4">
        <f t="shared" si="23"/>
        <v>4648068.3407164477</v>
      </c>
      <c r="N100" s="1">
        <v>45532.54</v>
      </c>
      <c r="O100" s="4">
        <f t="shared" si="24"/>
        <v>11383.135</v>
      </c>
      <c r="P100" s="8">
        <f t="shared" si="15"/>
        <v>4713044.6657164479</v>
      </c>
      <c r="Q100" s="9">
        <f t="shared" si="25"/>
        <v>0.41403749193139217</v>
      </c>
    </row>
    <row r="101" spans="1:17" ht="14" x14ac:dyDescent="0.15">
      <c r="A101" s="1" t="s">
        <v>98</v>
      </c>
      <c r="B101" s="5">
        <v>0</v>
      </c>
      <c r="C101" s="4">
        <f t="shared" si="16"/>
        <v>0</v>
      </c>
      <c r="D101" s="4">
        <f t="shared" si="17"/>
        <v>0</v>
      </c>
      <c r="E101" s="1">
        <v>4004.06</v>
      </c>
      <c r="F101" s="4">
        <f t="shared" si="18"/>
        <v>1001.015</v>
      </c>
      <c r="G101" s="4">
        <f t="shared" si="19"/>
        <v>10010.15</v>
      </c>
      <c r="H101" s="1">
        <v>11961.59</v>
      </c>
      <c r="I101" s="4">
        <f t="shared" si="20"/>
        <v>2990.3975</v>
      </c>
      <c r="J101" s="4">
        <f t="shared" si="21"/>
        <v>53827.154999999999</v>
      </c>
      <c r="K101" s="1">
        <f t="shared" si="14"/>
        <v>28934.05</v>
      </c>
      <c r="L101" s="4">
        <f t="shared" si="22"/>
        <v>7233.5124999999998</v>
      </c>
      <c r="M101" s="4">
        <f t="shared" si="23"/>
        <v>4597865.9729807163</v>
      </c>
      <c r="N101" s="1">
        <v>44899.7</v>
      </c>
      <c r="O101" s="4">
        <f t="shared" si="24"/>
        <v>11224.924999999999</v>
      </c>
      <c r="P101" s="8">
        <f t="shared" si="15"/>
        <v>4661703.2779807169</v>
      </c>
      <c r="Q101" s="9">
        <f t="shared" si="25"/>
        <v>0.41529928066162736</v>
      </c>
    </row>
    <row r="102" spans="1:17" ht="14" x14ac:dyDescent="0.15">
      <c r="A102" s="1" t="s">
        <v>99</v>
      </c>
      <c r="B102" s="5">
        <v>0</v>
      </c>
      <c r="C102" s="4">
        <f t="shared" si="16"/>
        <v>0</v>
      </c>
      <c r="D102" s="4">
        <f t="shared" si="17"/>
        <v>0</v>
      </c>
      <c r="E102" s="1">
        <v>3861.51</v>
      </c>
      <c r="F102" s="4">
        <f t="shared" si="18"/>
        <v>965.37750000000005</v>
      </c>
      <c r="G102" s="4">
        <f t="shared" si="19"/>
        <v>9653.7750000000015</v>
      </c>
      <c r="H102" s="1">
        <v>11785.03</v>
      </c>
      <c r="I102" s="4">
        <f t="shared" si="20"/>
        <v>2946.2575000000002</v>
      </c>
      <c r="J102" s="4">
        <f t="shared" si="21"/>
        <v>53032.635000000002</v>
      </c>
      <c r="K102" s="1">
        <f t="shared" si="14"/>
        <v>28779.65</v>
      </c>
      <c r="L102" s="4">
        <f t="shared" si="22"/>
        <v>7194.9125000000004</v>
      </c>
      <c r="M102" s="4">
        <f t="shared" si="23"/>
        <v>4573330.5033099223</v>
      </c>
      <c r="N102" s="1">
        <v>44426.19</v>
      </c>
      <c r="O102" s="4">
        <f t="shared" si="24"/>
        <v>11106.547500000001</v>
      </c>
      <c r="P102" s="8">
        <f t="shared" si="15"/>
        <v>4636016.9133099224</v>
      </c>
      <c r="Q102" s="9">
        <f t="shared" si="25"/>
        <v>0.41741296413758838</v>
      </c>
    </row>
    <row r="103" spans="1:17" ht="14" x14ac:dyDescent="0.15">
      <c r="A103" s="1" t="s">
        <v>100</v>
      </c>
      <c r="B103" s="5">
        <v>0</v>
      </c>
      <c r="C103" s="4">
        <f t="shared" si="16"/>
        <v>0</v>
      </c>
      <c r="D103" s="4">
        <f t="shared" si="17"/>
        <v>0</v>
      </c>
      <c r="E103" s="1">
        <v>3714</v>
      </c>
      <c r="F103" s="4">
        <f t="shared" si="18"/>
        <v>928.5</v>
      </c>
      <c r="G103" s="4">
        <f t="shared" si="19"/>
        <v>9285</v>
      </c>
      <c r="H103" s="1">
        <v>11602.68</v>
      </c>
      <c r="I103" s="4">
        <f t="shared" si="20"/>
        <v>2900.67</v>
      </c>
      <c r="J103" s="4">
        <f t="shared" si="21"/>
        <v>52212.06</v>
      </c>
      <c r="K103" s="1">
        <f t="shared" si="14"/>
        <v>28463.47</v>
      </c>
      <c r="L103" s="4">
        <f t="shared" si="22"/>
        <v>7115.8675000000003</v>
      </c>
      <c r="M103" s="4">
        <f t="shared" si="23"/>
        <v>4523086.8193687862</v>
      </c>
      <c r="N103" s="1">
        <v>43780.15</v>
      </c>
      <c r="O103" s="4">
        <f t="shared" si="24"/>
        <v>10945.0375</v>
      </c>
      <c r="P103" s="8">
        <f t="shared" si="15"/>
        <v>4584583.8793687858</v>
      </c>
      <c r="Q103" s="9">
        <f t="shared" si="25"/>
        <v>0.41887329114850319</v>
      </c>
    </row>
  </sheetData>
  <mergeCells count="10">
    <mergeCell ref="A1:B1"/>
    <mergeCell ref="A2:B2"/>
    <mergeCell ref="A3:B3"/>
    <mergeCell ref="A4:B4"/>
    <mergeCell ref="A6:A7"/>
    <mergeCell ref="H6:J6"/>
    <mergeCell ref="K6:M6"/>
    <mergeCell ref="E6:G6"/>
    <mergeCell ref="B6:D6"/>
    <mergeCell ref="N6:R6"/>
  </mergeCells>
  <pageMargins left="0.75" right="0.75" top="1" bottom="1" header="0.5" footer="0.5"/>
  <pageSetup paperSize="9" orientation="landscape"/>
  <ignoredErrors>
    <ignoredError sqref="L8:L10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Markus Wörle</cp:lastModifiedBy>
  <dcterms:created xsi:type="dcterms:W3CDTF">2014-03-04T15:49:50Z</dcterms:created>
  <dcterms:modified xsi:type="dcterms:W3CDTF">2026-01-24T18:29:29Z</dcterms:modified>
</cp:coreProperties>
</file>