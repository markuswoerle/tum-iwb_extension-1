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rkuswoerle/Desktop/Outlook_1/Data/"/>
    </mc:Choice>
  </mc:AlternateContent>
  <xr:revisionPtr revIDLastSave="0" documentId="13_ncr:1_{189841D7-40A7-924F-AA6E-090803FF44CD}" xr6:coauthVersionLast="47" xr6:coauthVersionMax="47" xr10:uidLastSave="{00000000-0000-0000-0000-000000000000}"/>
  <bookViews>
    <workbookView xWindow="160" yWindow="820" windowWidth="30080" windowHeight="170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2" i="1" l="1"/>
  <c r="AK102" i="1" s="1"/>
  <c r="AJ101" i="1"/>
  <c r="AK101" i="1" s="1"/>
  <c r="AJ100" i="1"/>
  <c r="AK100" i="1" s="1"/>
  <c r="AJ99" i="1"/>
  <c r="AK99" i="1" s="1"/>
  <c r="AJ98" i="1"/>
  <c r="AK98" i="1" s="1"/>
  <c r="AJ97" i="1"/>
  <c r="AK97" i="1" s="1"/>
  <c r="AJ96" i="1"/>
  <c r="AK96" i="1" s="1"/>
  <c r="AJ95" i="1"/>
  <c r="AK95" i="1" s="1"/>
  <c r="AJ94" i="1"/>
  <c r="AK94" i="1" s="1"/>
  <c r="AJ93" i="1"/>
  <c r="AK93" i="1" s="1"/>
  <c r="AJ92" i="1"/>
  <c r="AK92" i="1" s="1"/>
  <c r="AJ91" i="1"/>
  <c r="AK91" i="1" s="1"/>
  <c r="AJ90" i="1"/>
  <c r="AK90" i="1" s="1"/>
  <c r="AJ89" i="1"/>
  <c r="AK89" i="1" s="1"/>
  <c r="AJ88" i="1"/>
  <c r="AK88" i="1" s="1"/>
  <c r="AJ87" i="1"/>
  <c r="AK87" i="1" s="1"/>
  <c r="AJ86" i="1"/>
  <c r="AK86" i="1" s="1"/>
  <c r="AJ85" i="1"/>
  <c r="AK85" i="1" s="1"/>
  <c r="AJ84" i="1"/>
  <c r="AK84" i="1" s="1"/>
  <c r="AJ83" i="1"/>
  <c r="AK83" i="1" s="1"/>
  <c r="AJ82" i="1"/>
  <c r="AK82" i="1" s="1"/>
  <c r="AJ81" i="1"/>
  <c r="AK81" i="1" s="1"/>
  <c r="AJ80" i="1"/>
  <c r="AK80" i="1" s="1"/>
  <c r="AJ79" i="1"/>
  <c r="AK79" i="1" s="1"/>
  <c r="AJ78" i="1"/>
  <c r="AK78" i="1" s="1"/>
  <c r="AJ77" i="1"/>
  <c r="AK77" i="1" s="1"/>
  <c r="AJ76" i="1"/>
  <c r="AK76" i="1" s="1"/>
  <c r="AJ75" i="1"/>
  <c r="AK75" i="1" s="1"/>
  <c r="AJ74" i="1"/>
  <c r="AK74" i="1" s="1"/>
  <c r="AJ73" i="1"/>
  <c r="AK73" i="1" s="1"/>
  <c r="AJ72" i="1"/>
  <c r="AK72" i="1" s="1"/>
  <c r="AJ71" i="1"/>
  <c r="AK71" i="1" s="1"/>
  <c r="AJ70" i="1"/>
  <c r="AK70" i="1" s="1"/>
  <c r="AJ69" i="1"/>
  <c r="AK69" i="1" s="1"/>
  <c r="AJ68" i="1"/>
  <c r="AK68" i="1" s="1"/>
  <c r="AJ67" i="1"/>
  <c r="AK67" i="1" s="1"/>
  <c r="AJ66" i="1"/>
  <c r="AK66" i="1" s="1"/>
  <c r="AJ65" i="1"/>
  <c r="AK65" i="1" s="1"/>
  <c r="AJ64" i="1"/>
  <c r="AK64" i="1" s="1"/>
  <c r="AJ63" i="1"/>
  <c r="AK63" i="1" s="1"/>
  <c r="AJ62" i="1"/>
  <c r="AK62" i="1" s="1"/>
  <c r="AJ61" i="1"/>
  <c r="AK61" i="1" s="1"/>
  <c r="AJ60" i="1"/>
  <c r="AK60" i="1" s="1"/>
  <c r="AJ59" i="1"/>
  <c r="AK59" i="1" s="1"/>
  <c r="AJ58" i="1"/>
  <c r="AK58" i="1" s="1"/>
  <c r="AJ57" i="1"/>
  <c r="AK57" i="1" s="1"/>
  <c r="AJ56" i="1"/>
  <c r="AK56" i="1" s="1"/>
  <c r="AJ55" i="1"/>
  <c r="AK55" i="1" s="1"/>
  <c r="AJ54" i="1"/>
  <c r="AK54" i="1" s="1"/>
  <c r="AJ53" i="1"/>
  <c r="AK53" i="1" s="1"/>
  <c r="AJ52" i="1"/>
  <c r="AK52" i="1" s="1"/>
  <c r="AJ51" i="1"/>
  <c r="AK51" i="1" s="1"/>
  <c r="AJ50" i="1"/>
  <c r="AK50" i="1" s="1"/>
  <c r="AJ49" i="1"/>
  <c r="AK49" i="1" s="1"/>
  <c r="AJ48" i="1"/>
  <c r="AK48" i="1" s="1"/>
  <c r="AJ47" i="1"/>
  <c r="AK47" i="1" s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J7" i="1"/>
  <c r="AK7" i="1" s="1"/>
  <c r="AG102" i="1"/>
  <c r="AH102" i="1" s="1"/>
  <c r="AG101" i="1"/>
  <c r="AH101" i="1" s="1"/>
  <c r="AG100" i="1"/>
  <c r="AH100" i="1" s="1"/>
  <c r="AG99" i="1"/>
  <c r="AH99" i="1" s="1"/>
  <c r="AG98" i="1"/>
  <c r="AH98" i="1" s="1"/>
  <c r="AG97" i="1"/>
  <c r="AH97" i="1" s="1"/>
  <c r="AG96" i="1"/>
  <c r="AH96" i="1" s="1"/>
  <c r="AG95" i="1"/>
  <c r="AH95" i="1" s="1"/>
  <c r="AG94" i="1"/>
  <c r="AH94" i="1" s="1"/>
  <c r="AG93" i="1"/>
  <c r="AH93" i="1" s="1"/>
  <c r="AG92" i="1"/>
  <c r="AH92" i="1" s="1"/>
  <c r="AG91" i="1"/>
  <c r="AH91" i="1" s="1"/>
  <c r="AG90" i="1"/>
  <c r="AH90" i="1" s="1"/>
  <c r="AG89" i="1"/>
  <c r="AH89" i="1" s="1"/>
  <c r="AG88" i="1"/>
  <c r="AH88" i="1" s="1"/>
  <c r="AG87" i="1"/>
  <c r="AH87" i="1" s="1"/>
  <c r="AG86" i="1"/>
  <c r="AH86" i="1" s="1"/>
  <c r="AG85" i="1"/>
  <c r="AH85" i="1" s="1"/>
  <c r="AG84" i="1"/>
  <c r="AH84" i="1" s="1"/>
  <c r="AG83" i="1"/>
  <c r="AH83" i="1" s="1"/>
  <c r="AG82" i="1"/>
  <c r="AH82" i="1" s="1"/>
  <c r="AG81" i="1"/>
  <c r="AH81" i="1" s="1"/>
  <c r="AG80" i="1"/>
  <c r="AH80" i="1" s="1"/>
  <c r="AG79" i="1"/>
  <c r="AH79" i="1" s="1"/>
  <c r="AG78" i="1"/>
  <c r="AH78" i="1" s="1"/>
  <c r="AG77" i="1"/>
  <c r="AH77" i="1" s="1"/>
  <c r="AG76" i="1"/>
  <c r="AH76" i="1" s="1"/>
  <c r="AG75" i="1"/>
  <c r="AH75" i="1" s="1"/>
  <c r="AG74" i="1"/>
  <c r="AH74" i="1" s="1"/>
  <c r="AG73" i="1"/>
  <c r="AH73" i="1" s="1"/>
  <c r="AG72" i="1"/>
  <c r="AH72" i="1" s="1"/>
  <c r="AG71" i="1"/>
  <c r="AH71" i="1" s="1"/>
  <c r="AG70" i="1"/>
  <c r="AH70" i="1" s="1"/>
  <c r="AG69" i="1"/>
  <c r="AH69" i="1" s="1"/>
  <c r="AG68" i="1"/>
  <c r="AH68" i="1" s="1"/>
  <c r="AG67" i="1"/>
  <c r="AH67" i="1" s="1"/>
  <c r="AG66" i="1"/>
  <c r="AH66" i="1" s="1"/>
  <c r="AG65" i="1"/>
  <c r="AH65" i="1" s="1"/>
  <c r="AG64" i="1"/>
  <c r="AH64" i="1" s="1"/>
  <c r="AG63" i="1"/>
  <c r="AH63" i="1" s="1"/>
  <c r="AG62" i="1"/>
  <c r="AH62" i="1" s="1"/>
  <c r="AG61" i="1"/>
  <c r="AH61" i="1" s="1"/>
  <c r="AG60" i="1"/>
  <c r="AH60" i="1" s="1"/>
  <c r="AG59" i="1"/>
  <c r="AH59" i="1" s="1"/>
  <c r="AG58" i="1"/>
  <c r="AH58" i="1" s="1"/>
  <c r="AG57" i="1"/>
  <c r="AH57" i="1" s="1"/>
  <c r="AG56" i="1"/>
  <c r="AH56" i="1" s="1"/>
  <c r="AG55" i="1"/>
  <c r="AH55" i="1" s="1"/>
  <c r="AG54" i="1"/>
  <c r="AH54" i="1" s="1"/>
  <c r="AG53" i="1"/>
  <c r="AH53" i="1" s="1"/>
  <c r="AG52" i="1"/>
  <c r="AH52" i="1" s="1"/>
  <c r="AG51" i="1"/>
  <c r="AH51" i="1" s="1"/>
  <c r="AG50" i="1"/>
  <c r="AH50" i="1" s="1"/>
  <c r="AG49" i="1"/>
  <c r="AH49" i="1" s="1"/>
  <c r="AG48" i="1"/>
  <c r="AH48" i="1" s="1"/>
  <c r="AG47" i="1"/>
  <c r="AH47" i="1" s="1"/>
  <c r="AG46" i="1"/>
  <c r="AH46" i="1" s="1"/>
  <c r="AG45" i="1"/>
  <c r="AH45" i="1" s="1"/>
  <c r="AG44" i="1"/>
  <c r="AH44" i="1" s="1"/>
  <c r="AG43" i="1"/>
  <c r="AH43" i="1" s="1"/>
  <c r="AG42" i="1"/>
  <c r="AH42" i="1" s="1"/>
  <c r="AG41" i="1"/>
  <c r="AH41" i="1" s="1"/>
  <c r="AG40" i="1"/>
  <c r="AH40" i="1" s="1"/>
  <c r="AG39" i="1"/>
  <c r="AH39" i="1" s="1"/>
  <c r="AG38" i="1"/>
  <c r="AH38" i="1" s="1"/>
  <c r="AG37" i="1"/>
  <c r="AH37" i="1" s="1"/>
  <c r="AG36" i="1"/>
  <c r="AH36" i="1" s="1"/>
  <c r="AG35" i="1"/>
  <c r="AH35" i="1" s="1"/>
  <c r="AG34" i="1"/>
  <c r="AH34" i="1" s="1"/>
  <c r="AG33" i="1"/>
  <c r="AH33" i="1" s="1"/>
  <c r="AG32" i="1"/>
  <c r="AH32" i="1" s="1"/>
  <c r="AG31" i="1"/>
  <c r="AH31" i="1" s="1"/>
  <c r="AG30" i="1"/>
  <c r="AH30" i="1" s="1"/>
  <c r="AG29" i="1"/>
  <c r="AH29" i="1" s="1"/>
  <c r="AG28" i="1"/>
  <c r="AH28" i="1" s="1"/>
  <c r="AG27" i="1"/>
  <c r="AH27" i="1" s="1"/>
  <c r="AG26" i="1"/>
  <c r="AH26" i="1" s="1"/>
  <c r="AG25" i="1"/>
  <c r="AH25" i="1" s="1"/>
  <c r="AG24" i="1"/>
  <c r="AH24" i="1" s="1"/>
  <c r="AG23" i="1"/>
  <c r="AH23" i="1" s="1"/>
  <c r="AG22" i="1"/>
  <c r="AH22" i="1" s="1"/>
  <c r="AG21" i="1"/>
  <c r="AH21" i="1" s="1"/>
  <c r="AG20" i="1"/>
  <c r="AH20" i="1" s="1"/>
  <c r="AG19" i="1"/>
  <c r="AH19" i="1" s="1"/>
  <c r="AG18" i="1"/>
  <c r="AH18" i="1" s="1"/>
  <c r="AG17" i="1"/>
  <c r="AH17" i="1" s="1"/>
  <c r="AG16" i="1"/>
  <c r="AH16" i="1" s="1"/>
  <c r="AG15" i="1"/>
  <c r="AH15" i="1" s="1"/>
  <c r="AG14" i="1"/>
  <c r="AH14" i="1" s="1"/>
  <c r="AG13" i="1"/>
  <c r="AH13" i="1" s="1"/>
  <c r="AG12" i="1"/>
  <c r="AH12" i="1" s="1"/>
  <c r="AG11" i="1"/>
  <c r="AH11" i="1" s="1"/>
  <c r="AG10" i="1"/>
  <c r="AH10" i="1" s="1"/>
  <c r="AG9" i="1"/>
  <c r="AH9" i="1" s="1"/>
  <c r="AG8" i="1"/>
  <c r="AH8" i="1" s="1"/>
  <c r="AG7" i="1"/>
  <c r="AH7" i="1" s="1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D31" i="1"/>
  <c r="AE31" i="1" s="1"/>
  <c r="AD32" i="1"/>
  <c r="AE32" i="1" s="1"/>
  <c r="AD33" i="1"/>
  <c r="AE33" i="1" s="1"/>
  <c r="AD34" i="1"/>
  <c r="AE34" i="1" s="1"/>
  <c r="AD35" i="1"/>
  <c r="AE35" i="1" s="1"/>
  <c r="AD36" i="1"/>
  <c r="AE36" i="1" s="1"/>
  <c r="AD37" i="1"/>
  <c r="AE37" i="1" s="1"/>
  <c r="AD38" i="1"/>
  <c r="AE38" i="1" s="1"/>
  <c r="AD39" i="1"/>
  <c r="AE39" i="1" s="1"/>
  <c r="AD40" i="1"/>
  <c r="AE40" i="1" s="1"/>
  <c r="AD41" i="1"/>
  <c r="AE41" i="1" s="1"/>
  <c r="AD42" i="1"/>
  <c r="AE42" i="1" s="1"/>
  <c r="AD43" i="1"/>
  <c r="AE43" i="1" s="1"/>
  <c r="AD44" i="1"/>
  <c r="AE44" i="1" s="1"/>
  <c r="AD45" i="1"/>
  <c r="AE45" i="1" s="1"/>
  <c r="AD46" i="1"/>
  <c r="AE46" i="1" s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E52" i="1" s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1" i="1"/>
  <c r="AE61" i="1" s="1"/>
  <c r="AD62" i="1"/>
  <c r="AE62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2" i="1"/>
  <c r="AE72" i="1" s="1"/>
  <c r="AD73" i="1"/>
  <c r="AE73" i="1" s="1"/>
  <c r="AD74" i="1"/>
  <c r="AE74" i="1" s="1"/>
  <c r="AD75" i="1"/>
  <c r="AE75" i="1" s="1"/>
  <c r="AD76" i="1"/>
  <c r="AE76" i="1" s="1"/>
  <c r="AD77" i="1"/>
  <c r="AE77" i="1" s="1"/>
  <c r="AD78" i="1"/>
  <c r="AE78" i="1" s="1"/>
  <c r="AD79" i="1"/>
  <c r="AE79" i="1" s="1"/>
  <c r="AD80" i="1"/>
  <c r="AE80" i="1" s="1"/>
  <c r="AD81" i="1"/>
  <c r="AE81" i="1" s="1"/>
  <c r="AD82" i="1"/>
  <c r="AE82" i="1" s="1"/>
  <c r="AD83" i="1"/>
  <c r="AE83" i="1" s="1"/>
  <c r="AD84" i="1"/>
  <c r="AE84" i="1" s="1"/>
  <c r="AD85" i="1"/>
  <c r="AE85" i="1" s="1"/>
  <c r="AD86" i="1"/>
  <c r="AE86" i="1" s="1"/>
  <c r="AD87" i="1"/>
  <c r="AE87" i="1" s="1"/>
  <c r="AD88" i="1"/>
  <c r="AE88" i="1" s="1"/>
  <c r="AD89" i="1"/>
  <c r="AE89" i="1" s="1"/>
  <c r="AD90" i="1"/>
  <c r="AE90" i="1" s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E96" i="1" s="1"/>
  <c r="AD97" i="1"/>
  <c r="AE97" i="1" s="1"/>
  <c r="AD98" i="1"/>
  <c r="AE98" i="1" s="1"/>
  <c r="AD99" i="1"/>
  <c r="AE99" i="1" s="1"/>
  <c r="AD100" i="1"/>
  <c r="AE100" i="1" s="1"/>
  <c r="AD101" i="1"/>
  <c r="AE101" i="1" s="1"/>
  <c r="AD102" i="1"/>
  <c r="AE102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X102" i="1"/>
  <c r="Y102" i="1" s="1"/>
  <c r="X101" i="1"/>
  <c r="Y101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6" i="1"/>
  <c r="Y76" i="1" s="1"/>
  <c r="X75" i="1"/>
  <c r="Y75" i="1" s="1"/>
  <c r="X74" i="1"/>
  <c r="Y74" i="1" s="1"/>
  <c r="X73" i="1"/>
  <c r="Y73" i="1" s="1"/>
  <c r="X72" i="1"/>
  <c r="Y72" i="1" s="1"/>
  <c r="X71" i="1"/>
  <c r="Y71" i="1" s="1"/>
  <c r="X70" i="1"/>
  <c r="Y70" i="1" s="1"/>
  <c r="X69" i="1"/>
  <c r="Y69" i="1" s="1"/>
  <c r="X68" i="1"/>
  <c r="Y68" i="1" s="1"/>
  <c r="X67" i="1"/>
  <c r="Y67" i="1" s="1"/>
  <c r="X66" i="1"/>
  <c r="Y66" i="1" s="1"/>
  <c r="X65" i="1"/>
  <c r="Y65" i="1" s="1"/>
  <c r="X64" i="1"/>
  <c r="Y64" i="1" s="1"/>
  <c r="X63" i="1"/>
  <c r="Y63" i="1" s="1"/>
  <c r="X62" i="1"/>
  <c r="Y62" i="1" s="1"/>
  <c r="X61" i="1"/>
  <c r="Y61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X49" i="1"/>
  <c r="Y49" i="1" s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U102" i="1"/>
  <c r="V102" i="1" s="1"/>
  <c r="U101" i="1"/>
  <c r="V101" i="1" s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R102" i="1"/>
  <c r="S102" i="1" s="1"/>
  <c r="R101" i="1"/>
  <c r="S101" i="1" s="1"/>
  <c r="R100" i="1"/>
  <c r="S100" i="1" s="1"/>
  <c r="R99" i="1"/>
  <c r="S99" i="1" s="1"/>
  <c r="R98" i="1"/>
  <c r="S98" i="1" s="1"/>
  <c r="R97" i="1"/>
  <c r="S97" i="1" s="1"/>
  <c r="R96" i="1"/>
  <c r="S96" i="1" s="1"/>
  <c r="R95" i="1"/>
  <c r="S95" i="1" s="1"/>
  <c r="R94" i="1"/>
  <c r="S94" i="1" s="1"/>
  <c r="R93" i="1"/>
  <c r="S93" i="1" s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7" i="1"/>
  <c r="AL78" i="1" l="1"/>
  <c r="D78" i="1"/>
  <c r="AM78" i="1" s="1"/>
  <c r="AN78" i="1" s="1"/>
  <c r="AO78" i="1" s="1"/>
  <c r="AL66" i="1"/>
  <c r="D66" i="1"/>
  <c r="AM66" i="1" s="1"/>
  <c r="AN66" i="1" s="1"/>
  <c r="AO66" i="1" s="1"/>
  <c r="AL54" i="1"/>
  <c r="D54" i="1"/>
  <c r="AM54" i="1" s="1"/>
  <c r="AN54" i="1" s="1"/>
  <c r="AO54" i="1" s="1"/>
  <c r="AL101" i="1"/>
  <c r="D101" i="1"/>
  <c r="AM101" i="1" s="1"/>
  <c r="D89" i="1"/>
  <c r="AM89" i="1" s="1"/>
  <c r="AL89" i="1"/>
  <c r="AL77" i="1"/>
  <c r="D77" i="1"/>
  <c r="AM77" i="1" s="1"/>
  <c r="AN77" i="1" s="1"/>
  <c r="AO77" i="1" s="1"/>
  <c r="AL65" i="1"/>
  <c r="D65" i="1"/>
  <c r="AM65" i="1" s="1"/>
  <c r="AN65" i="1" s="1"/>
  <c r="AO65" i="1" s="1"/>
  <c r="AL53" i="1"/>
  <c r="D53" i="1"/>
  <c r="AM53" i="1" s="1"/>
  <c r="AN53" i="1" s="1"/>
  <c r="AO53" i="1" s="1"/>
  <c r="AL41" i="1"/>
  <c r="D41" i="1"/>
  <c r="AM41" i="1" s="1"/>
  <c r="AN41" i="1" s="1"/>
  <c r="AO41" i="1" s="1"/>
  <c r="AL29" i="1"/>
  <c r="D29" i="1"/>
  <c r="AM29" i="1" s="1"/>
  <c r="D17" i="1"/>
  <c r="AM17" i="1" s="1"/>
  <c r="AL17" i="1"/>
  <c r="D100" i="1"/>
  <c r="AM100" i="1" s="1"/>
  <c r="AL100" i="1"/>
  <c r="AL88" i="1"/>
  <c r="D88" i="1"/>
  <c r="AM88" i="1" s="1"/>
  <c r="AN88" i="1" s="1"/>
  <c r="AO88" i="1" s="1"/>
  <c r="AL76" i="1"/>
  <c r="D76" i="1"/>
  <c r="AM76" i="1" s="1"/>
  <c r="AN76" i="1" s="1"/>
  <c r="AO76" i="1" s="1"/>
  <c r="AL64" i="1"/>
  <c r="D64" i="1"/>
  <c r="AM64" i="1" s="1"/>
  <c r="AN64" i="1" s="1"/>
  <c r="AO64" i="1" s="1"/>
  <c r="AL52" i="1"/>
  <c r="D52" i="1"/>
  <c r="AM52" i="1" s="1"/>
  <c r="AL40" i="1"/>
  <c r="D40" i="1"/>
  <c r="AM40" i="1" s="1"/>
  <c r="AN40" i="1" s="1"/>
  <c r="AO40" i="1" s="1"/>
  <c r="AL28" i="1"/>
  <c r="D28" i="1"/>
  <c r="AM28" i="1" s="1"/>
  <c r="AN28" i="1" s="1"/>
  <c r="AO28" i="1" s="1"/>
  <c r="AL16" i="1"/>
  <c r="D16" i="1"/>
  <c r="AM16" i="1" s="1"/>
  <c r="AN16" i="1" s="1"/>
  <c r="AO16" i="1" s="1"/>
  <c r="AL99" i="1"/>
  <c r="D99" i="1"/>
  <c r="AM99" i="1" s="1"/>
  <c r="AN99" i="1" s="1"/>
  <c r="AO99" i="1" s="1"/>
  <c r="AL87" i="1"/>
  <c r="D87" i="1"/>
  <c r="AM87" i="1" s="1"/>
  <c r="AN87" i="1" s="1"/>
  <c r="AO87" i="1" s="1"/>
  <c r="AL75" i="1"/>
  <c r="D75" i="1"/>
  <c r="AM75" i="1" s="1"/>
  <c r="AL63" i="1"/>
  <c r="D63" i="1"/>
  <c r="AM63" i="1" s="1"/>
  <c r="AN63" i="1" s="1"/>
  <c r="AO63" i="1" s="1"/>
  <c r="AL51" i="1"/>
  <c r="D51" i="1"/>
  <c r="AM51" i="1" s="1"/>
  <c r="AN51" i="1" s="1"/>
  <c r="AO51" i="1" s="1"/>
  <c r="AL39" i="1"/>
  <c r="D39" i="1"/>
  <c r="AM39" i="1" s="1"/>
  <c r="AN39" i="1" s="1"/>
  <c r="AO39" i="1" s="1"/>
  <c r="AL27" i="1"/>
  <c r="D27" i="1"/>
  <c r="AM27" i="1" s="1"/>
  <c r="AN27" i="1" s="1"/>
  <c r="AO27" i="1" s="1"/>
  <c r="AL15" i="1"/>
  <c r="D15" i="1"/>
  <c r="AM15" i="1" s="1"/>
  <c r="AN15" i="1" s="1"/>
  <c r="AO15" i="1" s="1"/>
  <c r="AL91" i="1"/>
  <c r="D91" i="1"/>
  <c r="AM91" i="1" s="1"/>
  <c r="D42" i="1"/>
  <c r="AM42" i="1" s="1"/>
  <c r="AL42" i="1"/>
  <c r="AL7" i="1"/>
  <c r="D7" i="1"/>
  <c r="AM7" i="1" s="1"/>
  <c r="AN7" i="1" s="1"/>
  <c r="AO7" i="1" s="1"/>
  <c r="AL55" i="1"/>
  <c r="D55" i="1"/>
  <c r="AM55" i="1" s="1"/>
  <c r="AN55" i="1" s="1"/>
  <c r="AO55" i="1" s="1"/>
  <c r="D19" i="1"/>
  <c r="AM19" i="1" s="1"/>
  <c r="AL19" i="1"/>
  <c r="AL30" i="1"/>
  <c r="D30" i="1"/>
  <c r="AM30" i="1" s="1"/>
  <c r="AN30" i="1" s="1"/>
  <c r="AO30" i="1" s="1"/>
  <c r="AL49" i="1"/>
  <c r="D49" i="1"/>
  <c r="AM49" i="1" s="1"/>
  <c r="AL67" i="1"/>
  <c r="D67" i="1"/>
  <c r="AM67" i="1" s="1"/>
  <c r="AN67" i="1" s="1"/>
  <c r="AO67" i="1" s="1"/>
  <c r="AL31" i="1"/>
  <c r="D31" i="1"/>
  <c r="AM31" i="1" s="1"/>
  <c r="AN31" i="1" s="1"/>
  <c r="AO31" i="1" s="1"/>
  <c r="AL90" i="1"/>
  <c r="D90" i="1"/>
  <c r="AM90" i="1" s="1"/>
  <c r="AN90" i="1" s="1"/>
  <c r="AO90" i="1" s="1"/>
  <c r="AL79" i="1"/>
  <c r="D79" i="1"/>
  <c r="AM79" i="1" s="1"/>
  <c r="AN79" i="1" s="1"/>
  <c r="AO79" i="1" s="1"/>
  <c r="AL43" i="1"/>
  <c r="D43" i="1"/>
  <c r="AM43" i="1" s="1"/>
  <c r="AN43" i="1" s="1"/>
  <c r="AO43" i="1" s="1"/>
  <c r="AL102" i="1"/>
  <c r="D102" i="1"/>
  <c r="AM102" i="1" s="1"/>
  <c r="D18" i="1"/>
  <c r="AM18" i="1" s="1"/>
  <c r="AL18" i="1"/>
  <c r="D96" i="1"/>
  <c r="AM96" i="1" s="1"/>
  <c r="AL96" i="1"/>
  <c r="AL86" i="1"/>
  <c r="D86" i="1"/>
  <c r="AM86" i="1" s="1"/>
  <c r="AN86" i="1" s="1"/>
  <c r="AO86" i="1" s="1"/>
  <c r="D73" i="1"/>
  <c r="AM73" i="1" s="1"/>
  <c r="AL73" i="1"/>
  <c r="D37" i="1"/>
  <c r="AM37" i="1" s="1"/>
  <c r="AL37" i="1"/>
  <c r="AL84" i="1"/>
  <c r="D84" i="1"/>
  <c r="AM84" i="1" s="1"/>
  <c r="D36" i="1"/>
  <c r="AM36" i="1" s="1"/>
  <c r="AL36" i="1"/>
  <c r="AL95" i="1"/>
  <c r="D95" i="1"/>
  <c r="AM95" i="1" s="1"/>
  <c r="AN95" i="1" s="1"/>
  <c r="AO95" i="1" s="1"/>
  <c r="D71" i="1"/>
  <c r="AM71" i="1" s="1"/>
  <c r="AL71" i="1"/>
  <c r="AL59" i="1"/>
  <c r="D59" i="1"/>
  <c r="AM59" i="1" s="1"/>
  <c r="AN59" i="1" s="1"/>
  <c r="AO59" i="1" s="1"/>
  <c r="D35" i="1"/>
  <c r="AM35" i="1" s="1"/>
  <c r="AL35" i="1"/>
  <c r="AL23" i="1"/>
  <c r="D23" i="1"/>
  <c r="AM23" i="1" s="1"/>
  <c r="AL70" i="1"/>
  <c r="D70" i="1"/>
  <c r="AM70" i="1" s="1"/>
  <c r="AN70" i="1" s="1"/>
  <c r="AO70" i="1" s="1"/>
  <c r="AL34" i="1"/>
  <c r="D34" i="1"/>
  <c r="AM34" i="1" s="1"/>
  <c r="AN34" i="1" s="1"/>
  <c r="AO34" i="1" s="1"/>
  <c r="D98" i="1"/>
  <c r="AM98" i="1" s="1"/>
  <c r="AL98" i="1"/>
  <c r="D74" i="1"/>
  <c r="AM74" i="1" s="1"/>
  <c r="AL74" i="1"/>
  <c r="AL50" i="1"/>
  <c r="D50" i="1"/>
  <c r="AM50" i="1" s="1"/>
  <c r="AN50" i="1" s="1"/>
  <c r="AO50" i="1" s="1"/>
  <c r="D38" i="1"/>
  <c r="AM38" i="1" s="1"/>
  <c r="AL38" i="1"/>
  <c r="D26" i="1"/>
  <c r="AM26" i="1" s="1"/>
  <c r="AL26" i="1"/>
  <c r="AL14" i="1"/>
  <c r="D14" i="1"/>
  <c r="AM14" i="1" s="1"/>
  <c r="AN14" i="1" s="1"/>
  <c r="AO14" i="1" s="1"/>
  <c r="D97" i="1"/>
  <c r="AM97" i="1" s="1"/>
  <c r="AL97" i="1"/>
  <c r="AL85" i="1"/>
  <c r="D85" i="1"/>
  <c r="AM85" i="1" s="1"/>
  <c r="AN85" i="1" s="1"/>
  <c r="AO85" i="1" s="1"/>
  <c r="AL25" i="1"/>
  <c r="D25" i="1"/>
  <c r="AM25" i="1" s="1"/>
  <c r="AN25" i="1" s="1"/>
  <c r="AO25" i="1" s="1"/>
  <c r="D60" i="1"/>
  <c r="AM60" i="1" s="1"/>
  <c r="AL60" i="1"/>
  <c r="AL12" i="1"/>
  <c r="D12" i="1"/>
  <c r="AM12" i="1" s="1"/>
  <c r="AN12" i="1" s="1"/>
  <c r="AO12" i="1" s="1"/>
  <c r="D83" i="1"/>
  <c r="AM83" i="1" s="1"/>
  <c r="AL83" i="1"/>
  <c r="D11" i="1"/>
  <c r="AM11" i="1" s="1"/>
  <c r="AL11" i="1"/>
  <c r="AL94" i="1"/>
  <c r="D94" i="1"/>
  <c r="AM94" i="1" s="1"/>
  <c r="AN94" i="1" s="1"/>
  <c r="AO94" i="1" s="1"/>
  <c r="AL58" i="1"/>
  <c r="D58" i="1"/>
  <c r="AM58" i="1" s="1"/>
  <c r="AN58" i="1" s="1"/>
  <c r="AO58" i="1" s="1"/>
  <c r="AL22" i="1"/>
  <c r="D22" i="1"/>
  <c r="AM22" i="1" s="1"/>
  <c r="AL93" i="1"/>
  <c r="D93" i="1"/>
  <c r="AM93" i="1" s="1"/>
  <c r="AN93" i="1" s="1"/>
  <c r="AO93" i="1" s="1"/>
  <c r="AL81" i="1"/>
  <c r="D81" i="1"/>
  <c r="AM81" i="1" s="1"/>
  <c r="AN81" i="1" s="1"/>
  <c r="AO81" i="1" s="1"/>
  <c r="AL69" i="1"/>
  <c r="D69" i="1"/>
  <c r="AM69" i="1" s="1"/>
  <c r="AN69" i="1" s="1"/>
  <c r="AO69" i="1" s="1"/>
  <c r="AL57" i="1"/>
  <c r="D57" i="1"/>
  <c r="AM57" i="1" s="1"/>
  <c r="AN57" i="1" s="1"/>
  <c r="AO57" i="1" s="1"/>
  <c r="AL45" i="1"/>
  <c r="D45" i="1"/>
  <c r="AM45" i="1" s="1"/>
  <c r="AN45" i="1" s="1"/>
  <c r="AO45" i="1" s="1"/>
  <c r="AL33" i="1"/>
  <c r="D33" i="1"/>
  <c r="AM33" i="1" s="1"/>
  <c r="AL21" i="1"/>
  <c r="D21" i="1"/>
  <c r="AM21" i="1" s="1"/>
  <c r="AN21" i="1" s="1"/>
  <c r="AO21" i="1" s="1"/>
  <c r="AL9" i="1"/>
  <c r="D9" i="1"/>
  <c r="AM9" i="1" s="1"/>
  <c r="AN9" i="1" s="1"/>
  <c r="AO9" i="1" s="1"/>
  <c r="D62" i="1"/>
  <c r="AM62" i="1" s="1"/>
  <c r="AL62" i="1"/>
  <c r="D61" i="1"/>
  <c r="AM61" i="1" s="1"/>
  <c r="AL61" i="1"/>
  <c r="AL13" i="1"/>
  <c r="D13" i="1"/>
  <c r="AM13" i="1" s="1"/>
  <c r="AN13" i="1" s="1"/>
  <c r="AO13" i="1" s="1"/>
  <c r="D72" i="1"/>
  <c r="AM72" i="1" s="1"/>
  <c r="AL72" i="1"/>
  <c r="AL48" i="1"/>
  <c r="D48" i="1"/>
  <c r="AM48" i="1" s="1"/>
  <c r="AN48" i="1" s="1"/>
  <c r="AO48" i="1" s="1"/>
  <c r="AL24" i="1"/>
  <c r="D24" i="1"/>
  <c r="AM24" i="1" s="1"/>
  <c r="AN24" i="1" s="1"/>
  <c r="AO24" i="1" s="1"/>
  <c r="D47" i="1"/>
  <c r="AM47" i="1" s="1"/>
  <c r="AL47" i="1"/>
  <c r="AL82" i="1"/>
  <c r="D82" i="1"/>
  <c r="AM82" i="1" s="1"/>
  <c r="AN82" i="1" s="1"/>
  <c r="AO82" i="1" s="1"/>
  <c r="AL46" i="1"/>
  <c r="D46" i="1"/>
  <c r="AM46" i="1" s="1"/>
  <c r="AN46" i="1" s="1"/>
  <c r="AO46" i="1" s="1"/>
  <c r="AL10" i="1"/>
  <c r="D10" i="1"/>
  <c r="AM10" i="1" s="1"/>
  <c r="AL92" i="1"/>
  <c r="D92" i="1"/>
  <c r="AM92" i="1" s="1"/>
  <c r="AN92" i="1" s="1"/>
  <c r="AO92" i="1" s="1"/>
  <c r="AL80" i="1"/>
  <c r="D80" i="1"/>
  <c r="AM80" i="1" s="1"/>
  <c r="AN80" i="1" s="1"/>
  <c r="AO80" i="1" s="1"/>
  <c r="AL68" i="1"/>
  <c r="D68" i="1"/>
  <c r="AM68" i="1" s="1"/>
  <c r="AN68" i="1" s="1"/>
  <c r="AO68" i="1" s="1"/>
  <c r="AL56" i="1"/>
  <c r="D56" i="1"/>
  <c r="AM56" i="1" s="1"/>
  <c r="AN56" i="1" s="1"/>
  <c r="AO56" i="1" s="1"/>
  <c r="AL44" i="1"/>
  <c r="D44" i="1"/>
  <c r="AM44" i="1" s="1"/>
  <c r="AL32" i="1"/>
  <c r="D32" i="1"/>
  <c r="AM32" i="1" s="1"/>
  <c r="AL20" i="1"/>
  <c r="D20" i="1"/>
  <c r="AM20" i="1" s="1"/>
  <c r="AN20" i="1" s="1"/>
  <c r="AO20" i="1" s="1"/>
  <c r="AL8" i="1"/>
  <c r="D8" i="1"/>
  <c r="AM8" i="1" s="1"/>
  <c r="AN8" i="1" s="1"/>
  <c r="AO8" i="1" s="1"/>
  <c r="AN60" i="1" l="1"/>
  <c r="AO60" i="1" s="1"/>
  <c r="AN38" i="1"/>
  <c r="AO38" i="1" s="1"/>
  <c r="AN44" i="1"/>
  <c r="AO44" i="1" s="1"/>
  <c r="AN72" i="1"/>
  <c r="AO72" i="1" s="1"/>
  <c r="AN18" i="1"/>
  <c r="AO18" i="1" s="1"/>
  <c r="AN17" i="1"/>
  <c r="AO17" i="1" s="1"/>
  <c r="AN89" i="1"/>
  <c r="AO89" i="1" s="1"/>
  <c r="AN32" i="1"/>
  <c r="AO32" i="1" s="1"/>
  <c r="AN10" i="1"/>
  <c r="AO10" i="1" s="1"/>
  <c r="AN33" i="1"/>
  <c r="AO33" i="1" s="1"/>
  <c r="AN22" i="1"/>
  <c r="AO22" i="1" s="1"/>
  <c r="AN23" i="1"/>
  <c r="AO23" i="1" s="1"/>
  <c r="AN84" i="1"/>
  <c r="AO84" i="1" s="1"/>
  <c r="AN102" i="1"/>
  <c r="AO102" i="1" s="1"/>
  <c r="AN49" i="1"/>
  <c r="AO49" i="1" s="1"/>
  <c r="AN91" i="1"/>
  <c r="AO91" i="1" s="1"/>
  <c r="AN75" i="1"/>
  <c r="AO75" i="1" s="1"/>
  <c r="AN52" i="1"/>
  <c r="AO52" i="1" s="1"/>
  <c r="AN29" i="1"/>
  <c r="AO29" i="1" s="1"/>
  <c r="AN101" i="1"/>
  <c r="AO101" i="1" s="1"/>
  <c r="AN83" i="1"/>
  <c r="AO83" i="1" s="1"/>
  <c r="AN61" i="1"/>
  <c r="AO61" i="1" s="1"/>
  <c r="AN19" i="1"/>
  <c r="AO19" i="1" s="1"/>
  <c r="AN26" i="1"/>
  <c r="AO26" i="1" s="1"/>
  <c r="AN42" i="1"/>
  <c r="AO42" i="1" s="1"/>
  <c r="AN35" i="1"/>
  <c r="AO35" i="1" s="1"/>
  <c r="AN74" i="1"/>
  <c r="AO74" i="1" s="1"/>
  <c r="AN73" i="1"/>
  <c r="AO73" i="1" s="1"/>
  <c r="AN96" i="1"/>
  <c r="AO96" i="1" s="1"/>
  <c r="AN100" i="1"/>
  <c r="AO100" i="1" s="1"/>
  <c r="AN36" i="1"/>
  <c r="AO36" i="1" s="1"/>
  <c r="AN37" i="1"/>
  <c r="AO37" i="1" s="1"/>
  <c r="AN47" i="1"/>
  <c r="AO47" i="1" s="1"/>
  <c r="AN62" i="1"/>
  <c r="AO62" i="1" s="1"/>
  <c r="AN11" i="1"/>
  <c r="AO11" i="1" s="1"/>
  <c r="AN97" i="1"/>
  <c r="AO97" i="1" s="1"/>
  <c r="AN98" i="1"/>
  <c r="AO98" i="1" s="1"/>
  <c r="AN71" i="1"/>
  <c r="AO71" i="1" s="1"/>
</calcChain>
</file>

<file path=xl/sharedStrings.xml><?xml version="1.0" encoding="utf-8"?>
<sst xmlns="http://schemas.openxmlformats.org/spreadsheetml/2006/main" count="168" uniqueCount="120">
  <si>
    <t>Actual Generation per Production Type - Generation</t>
  </si>
  <si>
    <t>Aggregated Generation per Type [16.1.B&amp;C]</t>
  </si>
  <si>
    <t>09/04/2025 00:00 - 10/04/2025 00:00 (CET/CEST)</t>
  </si>
  <si>
    <t>MTU</t>
  </si>
  <si>
    <t>09/04/2025 00:00:00 - 09/04/2025 00:15:00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</si>
  <si>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</si>
  <si>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</si>
  <si>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</si>
  <si>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</si>
  <si>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</si>
  <si>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</si>
  <si>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</si>
  <si>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</si>
  <si>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</si>
  <si>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</si>
  <si>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</si>
  <si>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</si>
  <si>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</si>
  <si>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</si>
  <si>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</si>
  <si>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</si>
  <si>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</si>
  <si>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</si>
  <si>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</si>
  <si>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</si>
  <si>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</si>
  <si>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</si>
  <si>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</si>
  <si>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</si>
  <si>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</si>
  <si>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</si>
  <si>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</si>
  <si>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</si>
  <si>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</si>
  <si>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</si>
  <si>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</si>
  <si>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</si>
  <si>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</si>
  <si>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</si>
  <si>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</si>
  <si>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</si>
  <si>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</si>
  <si>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</si>
  <si>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</si>
  <si>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</si>
  <si>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</si>
  <si>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</si>
  <si>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</si>
  <si>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</si>
  <si>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</si>
  <si>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</si>
  <si>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</si>
  <si>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</si>
  <si>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</si>
  <si>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</si>
  <si>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</si>
  <si>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</si>
  <si>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</si>
  <si>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</si>
  <si>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</si>
  <si>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</si>
  <si>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</si>
  <si>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</si>
  <si>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</si>
  <si>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</si>
  <si>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</si>
  <si>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</si>
  <si>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</si>
  <si>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</si>
  <si>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</si>
  <si>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</si>
  <si>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</si>
  <si>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</si>
  <si>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</si>
  <si>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</si>
  <si>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</si>
  <si>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</si>
  <si>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</si>
  <si>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</si>
  <si>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</si>
  <si>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</si>
  <si>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</si>
  <si>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</si>
  <si>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</si>
  <si>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</si>
  <si>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</si>
  <si>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</si>
  <si>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</si>
  <si>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</si>
  <si>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</si>
  <si>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</si>
  <si>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</si>
  <si>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</si>
  <si>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</si>
  <si>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</si>
  <si>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</si>
  <si>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</si>
  <si>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09/04/2025 23:15:00 - 09/04/2025 23:30:00</t>
  </si>
  <si>
    <t>09/04/2025 23:30:00 - 09/04/2025 23:45:00</t>
  </si>
  <si>
    <t>09/04/2025 23:45:00 - 10/04/2025 00:00:00</t>
  </si>
  <si>
    <t>MWh</t>
  </si>
  <si>
    <t>kg</t>
  </si>
  <si>
    <t>g/kWh</t>
  </si>
  <si>
    <t>Hourly mean (kg/kWh)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</si>
  <si>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Technologies without emission factor data excluded (e.g., </t>
    </r>
    <r>
      <rPr>
        <i/>
        <sz val="10"/>
        <rFont val="Arial"/>
        <family val="2"/>
      </rPr>
      <t>other renewables</t>
    </r>
    <r>
      <rPr>
        <sz val="10"/>
        <rFont val="Arial"/>
        <family val="2"/>
      </rPr>
      <t>)</t>
    </r>
  </si>
  <si>
    <t>Biomass</t>
  </si>
  <si>
    <t>Fossil Brown coal/Lignite</t>
  </si>
  <si>
    <t>Fossil Gas</t>
  </si>
  <si>
    <t>Fossil Hard coal</t>
  </si>
  <si>
    <t>Fossil Oil</t>
  </si>
  <si>
    <t>Geothermal</t>
  </si>
  <si>
    <t>Hydro Pumped Storage</t>
  </si>
  <si>
    <t>Hydro Run-of-river and pondage</t>
  </si>
  <si>
    <t>Hydro Water Reservoir</t>
  </si>
  <si>
    <t>Solar</t>
  </si>
  <si>
    <t>Wind Offshore</t>
  </si>
  <si>
    <t>Wind Onshore</t>
  </si>
  <si>
    <t>Total</t>
  </si>
  <si>
    <t>MW</t>
  </si>
  <si>
    <t>kg/kWh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</si>
</sst>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"/>
  <sheetViews>
    <sheetView showGridLines="0" tabSelected="1" showRuler="0" zoomScaleNormal="100" workbookViewId="0">
      <selection sqref="A1:B1"/>
    </sheetView>
  </sheetViews>
  <sheetFormatPr baseColWidth="10" defaultColWidth="30" defaultRowHeight="13" x14ac:dyDescent="0.15"/>
  <cols>
    <col min="1" max="1" width="40"/>
  </cols>
  <sheetData>
    <row r="1" spans="1:42" x14ac:dyDescent="0.15">
      <c r="A1" s="7" t="s">
        <v>0</v>
      </c>
      <c r="B1" s="7"/>
      <c r="C1" t="s">
        <v>104</v>
      </c>
    </row>
    <row r="2" spans="1:42" x14ac:dyDescent="0.15">
      <c r="A2" s="8" t="s">
        <v>1</v>
      </c>
      <c r="B2" s="8"/>
    </row>
    <row r="3" spans="1:42" ht="14" thickBot="1" x14ac:dyDescent="0.2">
      <c r="A3" s="9" t="s">
        <v>2</v>
      </c>
      <c r="B3" s="9"/>
      <c r="C3" s="3" t="s">
        <v>102</v>
      </c>
      <c r="F3" s="3" t="s">
        <v>102</v>
      </c>
      <c r="I3" s="3" t="s">
        <v>102</v>
      </c>
      <c r="L3" s="3" t="s">
        <v>102</v>
      </c>
      <c r="O3" s="3" t="s">
        <v>102</v>
      </c>
      <c r="R3" s="3" t="s">
        <v>102</v>
      </c>
      <c r="U3" s="3" t="s">
        <v>102</v>
      </c>
      <c r="X3" s="3" t="s">
        <v>102</v>
      </c>
      <c r="AA3" s="3" t="s">
        <v>102</v>
      </c>
      <c r="AD3" s="3" t="s">
        <v>102</v>
      </c>
      <c r="AG3" s="3" t="s">
        <v>102</v>
      </c>
      <c r="AJ3" s="3" t="s">
        <v>102</v>
      </c>
    </row>
    <row r="4" spans="1:42" ht="14" thickBot="1" x14ac:dyDescent="0.2">
      <c r="C4" s="3">
        <v>278</v>
      </c>
      <c r="F4" s="3">
        <v>1126</v>
      </c>
      <c r="I4" s="3">
        <v>437</v>
      </c>
      <c r="L4" s="3">
        <v>943</v>
      </c>
      <c r="O4" s="3">
        <v>929</v>
      </c>
      <c r="R4" s="3">
        <v>162</v>
      </c>
      <c r="U4" s="3">
        <v>25</v>
      </c>
      <c r="X4" s="3">
        <v>3</v>
      </c>
      <c r="AA4" s="3">
        <v>3</v>
      </c>
      <c r="AD4" s="3">
        <v>57</v>
      </c>
      <c r="AG4" s="3">
        <v>10</v>
      </c>
      <c r="AJ4" s="3">
        <v>18</v>
      </c>
    </row>
    <row r="5" spans="1:42" ht="14" customHeight="1" thickBot="1" x14ac:dyDescent="0.2">
      <c r="A5" s="10" t="s">
        <v>3</v>
      </c>
      <c r="B5" s="12" t="s">
        <v>105</v>
      </c>
      <c r="C5" s="13"/>
      <c r="D5" s="14"/>
      <c r="E5" s="12" t="s">
        <v>106</v>
      </c>
      <c r="F5" s="13"/>
      <c r="G5" s="14"/>
      <c r="H5" s="12" t="s">
        <v>107</v>
      </c>
      <c r="I5" s="13"/>
      <c r="J5" s="14"/>
      <c r="K5" s="12" t="s">
        <v>108</v>
      </c>
      <c r="L5" s="13"/>
      <c r="M5" s="14"/>
      <c r="N5" s="12" t="s">
        <v>109</v>
      </c>
      <c r="O5" s="13"/>
      <c r="P5" s="14"/>
      <c r="Q5" s="12" t="s">
        <v>110</v>
      </c>
      <c r="R5" s="13"/>
      <c r="S5" s="14"/>
      <c r="T5" s="12" t="s">
        <v>111</v>
      </c>
      <c r="U5" s="13"/>
      <c r="V5" s="14"/>
      <c r="W5" s="12" t="s">
        <v>112</v>
      </c>
      <c r="X5" s="13"/>
      <c r="Y5" s="14"/>
      <c r="Z5" s="12" t="s">
        <v>113</v>
      </c>
      <c r="AA5" s="13"/>
      <c r="AB5" s="14"/>
      <c r="AC5" s="12" t="s">
        <v>114</v>
      </c>
      <c r="AD5" s="13"/>
      <c r="AE5" s="14"/>
      <c r="AF5" s="12" t="s">
        <v>115</v>
      </c>
      <c r="AG5" s="13"/>
      <c r="AH5" s="14"/>
      <c r="AI5" s="12" t="s">
        <v>116</v>
      </c>
      <c r="AJ5" s="13"/>
      <c r="AK5" s="14"/>
      <c r="AL5" s="15" t="s">
        <v>117</v>
      </c>
      <c r="AM5" s="16"/>
      <c r="AN5" s="16"/>
      <c r="AO5" s="16"/>
      <c r="AP5" s="17"/>
    </row>
    <row r="6" spans="1:42" ht="15" thickBot="1" x14ac:dyDescent="0.2">
      <c r="A6" s="11" t="s">
        <v>3</v>
      </c>
      <c r="B6" s="2" t="s">
        <v>118</v>
      </c>
      <c r="C6" s="2" t="s">
        <v>100</v>
      </c>
      <c r="D6" s="2" t="s">
        <v>101</v>
      </c>
      <c r="E6" s="2" t="s">
        <v>118</v>
      </c>
      <c r="F6" s="2" t="s">
        <v>100</v>
      </c>
      <c r="G6" s="2" t="s">
        <v>101</v>
      </c>
      <c r="H6" s="2" t="s">
        <v>118</v>
      </c>
      <c r="I6" s="2" t="s">
        <v>100</v>
      </c>
      <c r="J6" s="2" t="s">
        <v>101</v>
      </c>
      <c r="K6" s="2" t="s">
        <v>118</v>
      </c>
      <c r="L6" s="2" t="s">
        <v>100</v>
      </c>
      <c r="M6" s="2" t="s">
        <v>101</v>
      </c>
      <c r="N6" s="2" t="s">
        <v>118</v>
      </c>
      <c r="O6" s="2" t="s">
        <v>100</v>
      </c>
      <c r="P6" s="2" t="s">
        <v>101</v>
      </c>
      <c r="Q6" s="2" t="s">
        <v>118</v>
      </c>
      <c r="R6" s="2" t="s">
        <v>100</v>
      </c>
      <c r="S6" s="2" t="s">
        <v>101</v>
      </c>
      <c r="T6" s="2" t="s">
        <v>118</v>
      </c>
      <c r="U6" s="2" t="s">
        <v>100</v>
      </c>
      <c r="V6" s="2" t="s">
        <v>101</v>
      </c>
      <c r="W6" s="2" t="s">
        <v>118</v>
      </c>
      <c r="X6" s="2" t="s">
        <v>100</v>
      </c>
      <c r="Y6" s="2" t="s">
        <v>101</v>
      </c>
      <c r="Z6" s="2" t="s">
        <v>118</v>
      </c>
      <c r="AA6" s="2" t="s">
        <v>100</v>
      </c>
      <c r="AB6" s="2" t="s">
        <v>101</v>
      </c>
      <c r="AC6" s="2" t="s">
        <v>118</v>
      </c>
      <c r="AD6" s="2" t="s">
        <v>100</v>
      </c>
      <c r="AE6" s="2" t="s">
        <v>101</v>
      </c>
      <c r="AF6" s="2" t="s">
        <v>118</v>
      </c>
      <c r="AG6" s="2" t="s">
        <v>100</v>
      </c>
      <c r="AH6" s="2" t="s">
        <v>101</v>
      </c>
      <c r="AI6" s="2" t="s">
        <v>118</v>
      </c>
      <c r="AJ6" s="2" t="s">
        <v>100</v>
      </c>
      <c r="AK6" s="2" t="s">
        <v>101</v>
      </c>
      <c r="AL6" s="2" t="s">
        <v>118</v>
      </c>
      <c r="AM6" s="2" t="s">
        <v>100</v>
      </c>
      <c r="AN6" s="2" t="s">
        <v>101</v>
      </c>
      <c r="AO6" s="4" t="s">
        <v>119</v>
      </c>
      <c r="AP6" s="4" t="s">
        <v>103</v>
      </c>
    </row>
    <row r="7" spans="1:42" ht="14" x14ac:dyDescent="0.15">
      <c r="A7" s="1" t="s">
        <v>4</v>
      </c>
      <c r="B7" s="1">
        <v>3874.02</v>
      </c>
      <c r="C7" s="1">
        <f>B7*0.25</f>
        <v>968.505</v>
      </c>
      <c r="D7" s="1">
        <f>C7*$C$4</f>
        <v>269244.39</v>
      </c>
      <c r="E7" s="1">
        <v>9278.66</v>
      </c>
      <c r="F7" s="1">
        <f>E7*0.25</f>
        <v>2319.665</v>
      </c>
      <c r="G7" s="1">
        <f>F7*$F$4</f>
        <v>2611942.79</v>
      </c>
      <c r="H7" s="1">
        <v>9295.81</v>
      </c>
      <c r="I7" s="1">
        <f>H7*0.25</f>
        <v>2323.9524999999999</v>
      </c>
      <c r="J7" s="1">
        <f>I7*$I$4</f>
        <v>1015567.2424999999</v>
      </c>
      <c r="K7" s="1">
        <v>5999.29</v>
      </c>
      <c r="L7" s="1">
        <f>K7*0.25</f>
        <v>1499.8225</v>
      </c>
      <c r="M7" s="1">
        <f>L7*$L$4</f>
        <v>1414332.6174999999</v>
      </c>
      <c r="N7" s="1">
        <v>342.9</v>
      </c>
      <c r="O7" s="1">
        <f>N7*0.25</f>
        <v>85.724999999999994</v>
      </c>
      <c r="P7" s="1">
        <f>O7*$O$4</f>
        <v>79638.524999999994</v>
      </c>
      <c r="Q7" s="1">
        <v>34.22</v>
      </c>
      <c r="R7" s="1">
        <f>Q7*0.25</f>
        <v>8.5549999999999997</v>
      </c>
      <c r="S7" s="1">
        <f>R7*$R$4</f>
        <v>1385.9099999999999</v>
      </c>
      <c r="T7" s="1">
        <v>881.88</v>
      </c>
      <c r="U7" s="1">
        <f>T7*0.25</f>
        <v>220.47</v>
      </c>
      <c r="V7" s="1">
        <f>U7*$U$4</f>
        <v>5511.75</v>
      </c>
      <c r="W7" s="1">
        <v>1125.29</v>
      </c>
      <c r="X7" s="1">
        <f>W7*0.25</f>
        <v>281.32249999999999</v>
      </c>
      <c r="Y7" s="1">
        <f>X7*$X$4</f>
        <v>843.96749999999997</v>
      </c>
      <c r="Z7" s="1">
        <v>174.74</v>
      </c>
      <c r="AA7" s="1">
        <f>Z7*0.25</f>
        <v>43.685000000000002</v>
      </c>
      <c r="AB7" s="1">
        <f>AA7*$AA$4</f>
        <v>131.05500000000001</v>
      </c>
      <c r="AC7" s="1">
        <v>6.86</v>
      </c>
      <c r="AD7" s="1">
        <f>AC7*0.25</f>
        <v>1.7150000000000001</v>
      </c>
      <c r="AE7" s="1">
        <f>AD7*$AD$4</f>
        <v>97.75500000000001</v>
      </c>
      <c r="AF7" s="1">
        <v>371.39</v>
      </c>
      <c r="AG7" s="1">
        <f>AF7*0.25</f>
        <v>92.847499999999997</v>
      </c>
      <c r="AH7" s="1">
        <f>AG7*$AG$4</f>
        <v>928.47499999999991</v>
      </c>
      <c r="AI7" s="1">
        <v>4578.9399999999996</v>
      </c>
      <c r="AJ7" s="1">
        <f>AI7*0.25</f>
        <v>1144.7349999999999</v>
      </c>
      <c r="AK7" s="5">
        <f>AJ7*$AJ$4</f>
        <v>20605.23</v>
      </c>
      <c r="AL7" s="6">
        <f>C7+F7+I7+L7+O7+R7+U7+X7+AA7+AD7+AG7+AJ7</f>
        <v>8991.0000000000018</v>
      </c>
      <c r="AM7" s="6">
        <f>D7+G7+J7+M7+P7+S7+V7+Y7+AB7+AE7+AH7+AK7</f>
        <v>5420229.7075000005</v>
      </c>
      <c r="AN7" s="6">
        <f>AM7/AL7</f>
        <v>602.8505958736514</v>
      </c>
      <c r="AO7" s="6">
        <f>AN7/1000</f>
        <v>0.60285059587365142</v>
      </c>
      <c r="AP7" s="6">
        <v>0.61015336399286269</v>
      </c>
    </row>
    <row r="8" spans="1:42" ht="14" x14ac:dyDescent="0.15">
      <c r="A8" s="1" t="s">
        <v>5</v>
      </c>
      <c r="B8" s="1">
        <v>3836.97</v>
      </c>
      <c r="C8" s="1">
        <f t="shared" ref="C8:C71" si="0">B8*0.25</f>
        <v>959.24249999999995</v>
      </c>
      <c r="D8" s="1">
        <f t="shared" ref="D8:D71" si="1">C8*$C$4</f>
        <v>266669.41499999998</v>
      </c>
      <c r="E8" s="1">
        <v>9287.9599999999991</v>
      </c>
      <c r="F8" s="1">
        <f t="shared" ref="F8:F71" si="2">E8*0.25</f>
        <v>2321.9899999999998</v>
      </c>
      <c r="G8" s="1">
        <f t="shared" ref="G8:G71" si="3">F8*$F$4</f>
        <v>2614560.7399999998</v>
      </c>
      <c r="H8" s="1">
        <v>9297.59</v>
      </c>
      <c r="I8" s="1">
        <f t="shared" ref="I8:I71" si="4">H8*0.25</f>
        <v>2324.3975</v>
      </c>
      <c r="J8" s="1">
        <f t="shared" ref="J8:J71" si="5">I8*$I$4</f>
        <v>1015761.7075</v>
      </c>
      <c r="K8" s="1">
        <v>6003.53</v>
      </c>
      <c r="L8" s="1">
        <f t="shared" ref="L8:L71" si="6">K8*0.25</f>
        <v>1500.8824999999999</v>
      </c>
      <c r="M8" s="1">
        <f t="shared" ref="M8:M71" si="7">L8*$L$4</f>
        <v>1415332.1975</v>
      </c>
      <c r="N8" s="1">
        <v>342.17</v>
      </c>
      <c r="O8" s="1">
        <f t="shared" ref="O8:O71" si="8">N8*0.25</f>
        <v>85.542500000000004</v>
      </c>
      <c r="P8" s="1">
        <f t="shared" ref="P8:P71" si="9">O8*$O$4</f>
        <v>79468.982499999998</v>
      </c>
      <c r="Q8" s="1">
        <v>34.36</v>
      </c>
      <c r="R8" s="1">
        <f t="shared" ref="R8:R71" si="10">Q8*0.25</f>
        <v>8.59</v>
      </c>
      <c r="S8" s="1">
        <f t="shared" ref="S8:S71" si="11">R8*$R$4</f>
        <v>1391.58</v>
      </c>
      <c r="T8" s="1">
        <v>498.29</v>
      </c>
      <c r="U8" s="1">
        <f t="shared" ref="U8:U71" si="12">T8*0.25</f>
        <v>124.57250000000001</v>
      </c>
      <c r="V8" s="1">
        <f t="shared" ref="V8:V71" si="13">U8*$U$4</f>
        <v>3114.3125</v>
      </c>
      <c r="W8" s="1">
        <v>1123.3699999999999</v>
      </c>
      <c r="X8" s="1">
        <f t="shared" ref="X8:X71" si="14">W8*0.25</f>
        <v>280.84249999999997</v>
      </c>
      <c r="Y8" s="1">
        <f t="shared" ref="Y8:Y71" si="15">X8*$X$4</f>
        <v>842.52749999999992</v>
      </c>
      <c r="Z8" s="1">
        <v>124.83</v>
      </c>
      <c r="AA8" s="1">
        <f t="shared" ref="AA8:AA71" si="16">Z8*0.25</f>
        <v>31.2075</v>
      </c>
      <c r="AB8" s="1">
        <f t="shared" ref="AB8:AB71" si="17">AA8*$AA$4</f>
        <v>93.622500000000002</v>
      </c>
      <c r="AC8" s="1">
        <v>5.1100000000000003</v>
      </c>
      <c r="AD8" s="1">
        <f t="shared" ref="AD8:AD71" si="18">AC8*0.25</f>
        <v>1.2775000000000001</v>
      </c>
      <c r="AE8" s="1">
        <f t="shared" ref="AE8:AE71" si="19">AD8*$AD$4</f>
        <v>72.81750000000001</v>
      </c>
      <c r="AF8" s="1">
        <v>450.38</v>
      </c>
      <c r="AG8" s="1">
        <f t="shared" ref="AG8:AG71" si="20">AF8*0.25</f>
        <v>112.595</v>
      </c>
      <c r="AH8" s="1">
        <f t="shared" ref="AH8:AH71" si="21">AG8*$AG$4</f>
        <v>1125.95</v>
      </c>
      <c r="AI8" s="1">
        <v>4554.46</v>
      </c>
      <c r="AJ8" s="1">
        <f t="shared" ref="AJ8:AJ71" si="22">AI8*0.25</f>
        <v>1138.615</v>
      </c>
      <c r="AK8" s="5">
        <f t="shared" ref="AK8:AK71" si="23">AJ8*$AJ$4</f>
        <v>20495.07</v>
      </c>
      <c r="AL8" s="6">
        <f t="shared" ref="AL8:AM71" si="24">C8+F8+I8+L8+O8+R8+U8+X8+AA8+AD8+AG8+AJ8</f>
        <v>8889.7549999999992</v>
      </c>
      <c r="AM8" s="6">
        <f t="shared" si="24"/>
        <v>5418928.9224999994</v>
      </c>
      <c r="AN8" s="6">
        <f t="shared" ref="AN8:AN71" si="25">AM8/AL8</f>
        <v>609.57010879377435</v>
      </c>
      <c r="AO8" s="6">
        <f t="shared" ref="AO8:AO71" si="26">AN8/1000</f>
        <v>0.60957010879377438</v>
      </c>
      <c r="AP8" s="6">
        <v>0.61728987829332271</v>
      </c>
    </row>
    <row r="9" spans="1:42" ht="14" x14ac:dyDescent="0.15">
      <c r="A9" s="1" t="s">
        <v>6</v>
      </c>
      <c r="B9" s="1">
        <v>3827.59</v>
      </c>
      <c r="C9" s="1">
        <f t="shared" si="0"/>
        <v>956.89750000000004</v>
      </c>
      <c r="D9" s="1">
        <f t="shared" si="1"/>
        <v>266017.505</v>
      </c>
      <c r="E9" s="1">
        <v>9292.61</v>
      </c>
      <c r="F9" s="1">
        <f t="shared" si="2"/>
        <v>2323.1525000000001</v>
      </c>
      <c r="G9" s="1">
        <f t="shared" si="3"/>
        <v>2615869.7150000003</v>
      </c>
      <c r="H9" s="1">
        <v>9274.76</v>
      </c>
      <c r="I9" s="1">
        <f t="shared" si="4"/>
        <v>2318.69</v>
      </c>
      <c r="J9" s="1">
        <f t="shared" si="5"/>
        <v>1013267.53</v>
      </c>
      <c r="K9" s="1">
        <v>5974.55</v>
      </c>
      <c r="L9" s="1">
        <f t="shared" si="6"/>
        <v>1493.6375</v>
      </c>
      <c r="M9" s="1">
        <f t="shared" si="7"/>
        <v>1408500.1625000001</v>
      </c>
      <c r="N9" s="1">
        <v>342.17</v>
      </c>
      <c r="O9" s="1">
        <f t="shared" si="8"/>
        <v>85.542500000000004</v>
      </c>
      <c r="P9" s="1">
        <f t="shared" si="9"/>
        <v>79468.982499999998</v>
      </c>
      <c r="Q9" s="1">
        <v>34.46</v>
      </c>
      <c r="R9" s="1">
        <f t="shared" si="10"/>
        <v>8.6150000000000002</v>
      </c>
      <c r="S9" s="1">
        <f t="shared" si="11"/>
        <v>1395.63</v>
      </c>
      <c r="T9" s="1">
        <v>231.86</v>
      </c>
      <c r="U9" s="1">
        <f t="shared" si="12"/>
        <v>57.965000000000003</v>
      </c>
      <c r="V9" s="1">
        <f t="shared" si="13"/>
        <v>1449.125</v>
      </c>
      <c r="W9" s="1">
        <v>1119.28</v>
      </c>
      <c r="X9" s="1">
        <f t="shared" si="14"/>
        <v>279.82</v>
      </c>
      <c r="Y9" s="1">
        <f t="shared" si="15"/>
        <v>839.46</v>
      </c>
      <c r="Z9" s="1">
        <v>112.71</v>
      </c>
      <c r="AA9" s="1">
        <f t="shared" si="16"/>
        <v>28.177499999999998</v>
      </c>
      <c r="AB9" s="1">
        <f t="shared" si="17"/>
        <v>84.532499999999999</v>
      </c>
      <c r="AC9" s="1">
        <v>5.13</v>
      </c>
      <c r="AD9" s="1">
        <f t="shared" si="18"/>
        <v>1.2825</v>
      </c>
      <c r="AE9" s="1">
        <f t="shared" si="19"/>
        <v>73.102499999999992</v>
      </c>
      <c r="AF9" s="1">
        <v>508.49</v>
      </c>
      <c r="AG9" s="1">
        <f t="shared" si="20"/>
        <v>127.1225</v>
      </c>
      <c r="AH9" s="1">
        <f t="shared" si="21"/>
        <v>1271.2249999999999</v>
      </c>
      <c r="AI9" s="1">
        <v>4520.99</v>
      </c>
      <c r="AJ9" s="1">
        <f t="shared" si="22"/>
        <v>1130.2474999999999</v>
      </c>
      <c r="AK9" s="5">
        <f t="shared" si="23"/>
        <v>20344.454999999998</v>
      </c>
      <c r="AL9" s="6">
        <f t="shared" si="24"/>
        <v>8811.15</v>
      </c>
      <c r="AM9" s="6">
        <f t="shared" si="24"/>
        <v>5408581.4249999989</v>
      </c>
      <c r="AN9" s="6">
        <f t="shared" si="25"/>
        <v>613.83377027970232</v>
      </c>
      <c r="AO9" s="6">
        <f t="shared" si="26"/>
        <v>0.61383377027970232</v>
      </c>
      <c r="AP9" s="6">
        <v>0.62504034051008062</v>
      </c>
    </row>
    <row r="10" spans="1:42" ht="14" x14ac:dyDescent="0.15">
      <c r="A10" s="1" t="s">
        <v>7</v>
      </c>
      <c r="B10" s="1">
        <v>3820.31</v>
      </c>
      <c r="C10" s="1">
        <f t="shared" si="0"/>
        <v>955.07749999999999</v>
      </c>
      <c r="D10" s="1">
        <f t="shared" si="1"/>
        <v>265511.54499999998</v>
      </c>
      <c r="E10" s="1">
        <v>9275.2099999999991</v>
      </c>
      <c r="F10" s="1">
        <f t="shared" si="2"/>
        <v>2318.8024999999998</v>
      </c>
      <c r="G10" s="1">
        <f t="shared" si="3"/>
        <v>2610971.6149999998</v>
      </c>
      <c r="H10" s="1">
        <v>9186.77</v>
      </c>
      <c r="I10" s="1">
        <f t="shared" si="4"/>
        <v>2296.6925000000001</v>
      </c>
      <c r="J10" s="1">
        <f t="shared" si="5"/>
        <v>1003654.6225000001</v>
      </c>
      <c r="K10" s="1">
        <v>5953.87</v>
      </c>
      <c r="L10" s="1">
        <f t="shared" si="6"/>
        <v>1488.4675</v>
      </c>
      <c r="M10" s="1">
        <f t="shared" si="7"/>
        <v>1403624.8525</v>
      </c>
      <c r="N10" s="1">
        <v>342.17</v>
      </c>
      <c r="O10" s="1">
        <f t="shared" si="8"/>
        <v>85.542500000000004</v>
      </c>
      <c r="P10" s="1">
        <f t="shared" si="9"/>
        <v>79468.982499999998</v>
      </c>
      <c r="Q10" s="1">
        <v>34.76</v>
      </c>
      <c r="R10" s="1">
        <f t="shared" si="10"/>
        <v>8.69</v>
      </c>
      <c r="S10" s="1">
        <f t="shared" si="11"/>
        <v>1407.78</v>
      </c>
      <c r="T10" s="1">
        <v>277.36</v>
      </c>
      <c r="U10" s="1">
        <f t="shared" si="12"/>
        <v>69.34</v>
      </c>
      <c r="V10" s="1">
        <f t="shared" si="13"/>
        <v>1733.5</v>
      </c>
      <c r="W10" s="1">
        <v>1124.1099999999999</v>
      </c>
      <c r="X10" s="1">
        <f t="shared" si="14"/>
        <v>281.02749999999997</v>
      </c>
      <c r="Y10" s="1">
        <f t="shared" si="15"/>
        <v>843.08249999999998</v>
      </c>
      <c r="Z10" s="1">
        <v>141.41</v>
      </c>
      <c r="AA10" s="1">
        <f t="shared" si="16"/>
        <v>35.352499999999999</v>
      </c>
      <c r="AB10" s="1">
        <f t="shared" si="17"/>
        <v>106.0575</v>
      </c>
      <c r="AC10" s="1">
        <v>5.13</v>
      </c>
      <c r="AD10" s="1">
        <f t="shared" si="18"/>
        <v>1.2825</v>
      </c>
      <c r="AE10" s="1">
        <f t="shared" si="19"/>
        <v>73.102499999999992</v>
      </c>
      <c r="AF10" s="1">
        <v>513.22</v>
      </c>
      <c r="AG10" s="1">
        <f t="shared" si="20"/>
        <v>128.30500000000001</v>
      </c>
      <c r="AH10" s="1">
        <f t="shared" si="21"/>
        <v>1283.0500000000002</v>
      </c>
      <c r="AI10" s="1">
        <v>4409.54</v>
      </c>
      <c r="AJ10" s="1">
        <f t="shared" si="22"/>
        <v>1102.385</v>
      </c>
      <c r="AK10" s="5">
        <f t="shared" si="23"/>
        <v>19842.93</v>
      </c>
      <c r="AL10" s="6">
        <f t="shared" si="24"/>
        <v>8770.9650000000001</v>
      </c>
      <c r="AM10" s="6">
        <f t="shared" si="24"/>
        <v>5388521.1199999992</v>
      </c>
      <c r="AN10" s="6">
        <f t="shared" si="25"/>
        <v>614.35898102432282</v>
      </c>
      <c r="AO10" s="6">
        <f t="shared" si="26"/>
        <v>0.61435898102432285</v>
      </c>
      <c r="AP10" s="6">
        <v>0.6240524911407519</v>
      </c>
    </row>
    <row r="11" spans="1:42" ht="14" x14ac:dyDescent="0.15">
      <c r="A11" s="1" t="s">
        <v>8</v>
      </c>
      <c r="B11" s="1">
        <v>3779.43</v>
      </c>
      <c r="C11" s="1">
        <f t="shared" si="0"/>
        <v>944.85749999999996</v>
      </c>
      <c r="D11" s="1">
        <f t="shared" si="1"/>
        <v>262670.38500000001</v>
      </c>
      <c r="E11" s="1">
        <v>9258.86</v>
      </c>
      <c r="F11" s="1">
        <f t="shared" si="2"/>
        <v>2314.7150000000001</v>
      </c>
      <c r="G11" s="1">
        <f t="shared" si="3"/>
        <v>2606369.0900000003</v>
      </c>
      <c r="H11" s="1">
        <v>9249.69</v>
      </c>
      <c r="I11" s="1">
        <f t="shared" si="4"/>
        <v>2312.4225000000001</v>
      </c>
      <c r="J11" s="1">
        <f t="shared" si="5"/>
        <v>1010528.6325000001</v>
      </c>
      <c r="K11" s="1">
        <v>5801.01</v>
      </c>
      <c r="L11" s="1">
        <f t="shared" si="6"/>
        <v>1450.2525000000001</v>
      </c>
      <c r="M11" s="1">
        <f t="shared" si="7"/>
        <v>1367588.1075000002</v>
      </c>
      <c r="N11" s="1">
        <v>342.31</v>
      </c>
      <c r="O11" s="1">
        <f t="shared" si="8"/>
        <v>85.577500000000001</v>
      </c>
      <c r="P11" s="1">
        <f t="shared" si="9"/>
        <v>79501.497499999998</v>
      </c>
      <c r="Q11" s="1">
        <v>34.9</v>
      </c>
      <c r="R11" s="1">
        <f t="shared" si="10"/>
        <v>8.7249999999999996</v>
      </c>
      <c r="S11" s="1">
        <f t="shared" si="11"/>
        <v>1413.45</v>
      </c>
      <c r="T11" s="1">
        <v>405.83</v>
      </c>
      <c r="U11" s="1">
        <f t="shared" si="12"/>
        <v>101.4575</v>
      </c>
      <c r="V11" s="1">
        <f t="shared" si="13"/>
        <v>2536.4375</v>
      </c>
      <c r="W11" s="1">
        <v>1107.71</v>
      </c>
      <c r="X11" s="1">
        <f t="shared" si="14"/>
        <v>276.92750000000001</v>
      </c>
      <c r="Y11" s="1">
        <f t="shared" si="15"/>
        <v>830.78250000000003</v>
      </c>
      <c r="Z11" s="1">
        <v>214.1</v>
      </c>
      <c r="AA11" s="1">
        <f t="shared" si="16"/>
        <v>53.524999999999999</v>
      </c>
      <c r="AB11" s="1">
        <f t="shared" si="17"/>
        <v>160.57499999999999</v>
      </c>
      <c r="AC11" s="1">
        <v>5.14</v>
      </c>
      <c r="AD11" s="1">
        <f t="shared" si="18"/>
        <v>1.2849999999999999</v>
      </c>
      <c r="AE11" s="1">
        <f t="shared" si="19"/>
        <v>73.24499999999999</v>
      </c>
      <c r="AF11" s="1">
        <v>533.26</v>
      </c>
      <c r="AG11" s="1">
        <f t="shared" si="20"/>
        <v>133.315</v>
      </c>
      <c r="AH11" s="1">
        <f t="shared" si="21"/>
        <v>1333.15</v>
      </c>
      <c r="AI11" s="1">
        <v>4274.13</v>
      </c>
      <c r="AJ11" s="1">
        <f t="shared" si="22"/>
        <v>1068.5325</v>
      </c>
      <c r="AK11" s="5">
        <f t="shared" si="23"/>
        <v>19233.584999999999</v>
      </c>
      <c r="AL11" s="6">
        <f t="shared" si="24"/>
        <v>8751.5925000000007</v>
      </c>
      <c r="AM11" s="6">
        <f t="shared" si="24"/>
        <v>5352238.9375000009</v>
      </c>
      <c r="AN11" s="6">
        <f t="shared" si="25"/>
        <v>611.57314368784887</v>
      </c>
      <c r="AO11" s="6">
        <f t="shared" si="26"/>
        <v>0.61157314368784887</v>
      </c>
      <c r="AP11" s="6">
        <v>0.61519767751623267</v>
      </c>
    </row>
    <row r="12" spans="1:42" ht="14" x14ac:dyDescent="0.15">
      <c r="A12" s="1" t="s">
        <v>9</v>
      </c>
      <c r="B12" s="1">
        <v>3772.31</v>
      </c>
      <c r="C12" s="1">
        <f t="shared" si="0"/>
        <v>943.07749999999999</v>
      </c>
      <c r="D12" s="1">
        <f t="shared" si="1"/>
        <v>262175.54499999998</v>
      </c>
      <c r="E12" s="1">
        <v>9266.44</v>
      </c>
      <c r="F12" s="1">
        <f t="shared" si="2"/>
        <v>2316.61</v>
      </c>
      <c r="G12" s="1">
        <f t="shared" si="3"/>
        <v>2608502.8600000003</v>
      </c>
      <c r="H12" s="1">
        <v>9192.25</v>
      </c>
      <c r="I12" s="1">
        <f t="shared" si="4"/>
        <v>2298.0625</v>
      </c>
      <c r="J12" s="1">
        <f t="shared" si="5"/>
        <v>1004253.3125</v>
      </c>
      <c r="K12" s="1">
        <v>5672.97</v>
      </c>
      <c r="L12" s="1">
        <f t="shared" si="6"/>
        <v>1418.2425000000001</v>
      </c>
      <c r="M12" s="1">
        <f t="shared" si="7"/>
        <v>1337402.6775</v>
      </c>
      <c r="N12" s="1">
        <v>342.17</v>
      </c>
      <c r="O12" s="1">
        <f t="shared" si="8"/>
        <v>85.542500000000004</v>
      </c>
      <c r="P12" s="1">
        <f t="shared" si="9"/>
        <v>79468.982499999998</v>
      </c>
      <c r="Q12" s="1">
        <v>34.85</v>
      </c>
      <c r="R12" s="1">
        <f t="shared" si="10"/>
        <v>8.7125000000000004</v>
      </c>
      <c r="S12" s="1">
        <f t="shared" si="11"/>
        <v>1411.425</v>
      </c>
      <c r="T12" s="1">
        <v>256.70999999999998</v>
      </c>
      <c r="U12" s="1">
        <f t="shared" si="12"/>
        <v>64.177499999999995</v>
      </c>
      <c r="V12" s="1">
        <f t="shared" si="13"/>
        <v>1604.4374999999998</v>
      </c>
      <c r="W12" s="1">
        <v>1101.31</v>
      </c>
      <c r="X12" s="1">
        <f t="shared" si="14"/>
        <v>275.32749999999999</v>
      </c>
      <c r="Y12" s="1">
        <f t="shared" si="15"/>
        <v>825.98249999999996</v>
      </c>
      <c r="Z12" s="1">
        <v>163.95</v>
      </c>
      <c r="AA12" s="1">
        <f t="shared" si="16"/>
        <v>40.987499999999997</v>
      </c>
      <c r="AB12" s="1">
        <f t="shared" si="17"/>
        <v>122.96249999999999</v>
      </c>
      <c r="AC12" s="1">
        <v>5.07</v>
      </c>
      <c r="AD12" s="1">
        <f t="shared" si="18"/>
        <v>1.2675000000000001</v>
      </c>
      <c r="AE12" s="1">
        <f t="shared" si="19"/>
        <v>72.247500000000002</v>
      </c>
      <c r="AF12" s="1">
        <v>571.27</v>
      </c>
      <c r="AG12" s="1">
        <f t="shared" si="20"/>
        <v>142.8175</v>
      </c>
      <c r="AH12" s="1">
        <f t="shared" si="21"/>
        <v>1428.175</v>
      </c>
      <c r="AI12" s="1">
        <v>4180.16</v>
      </c>
      <c r="AJ12" s="1">
        <f t="shared" si="22"/>
        <v>1045.04</v>
      </c>
      <c r="AK12" s="5">
        <f t="shared" si="23"/>
        <v>18810.72</v>
      </c>
      <c r="AL12" s="6">
        <f t="shared" si="24"/>
        <v>8639.8649999999998</v>
      </c>
      <c r="AM12" s="6">
        <f t="shared" si="24"/>
        <v>5316079.3274999997</v>
      </c>
      <c r="AN12" s="6">
        <f t="shared" si="25"/>
        <v>615.29657321034529</v>
      </c>
      <c r="AO12" s="6">
        <f t="shared" si="26"/>
        <v>0.61529657321034525</v>
      </c>
      <c r="AP12" s="6">
        <v>0.59928850842416281</v>
      </c>
    </row>
    <row r="13" spans="1:42" ht="14" x14ac:dyDescent="0.15">
      <c r="A13" s="1" t="s">
        <v>10</v>
      </c>
      <c r="B13" s="1">
        <v>3768.28</v>
      </c>
      <c r="C13" s="1">
        <f t="shared" si="0"/>
        <v>942.07</v>
      </c>
      <c r="D13" s="1">
        <f t="shared" si="1"/>
        <v>261895.46000000002</v>
      </c>
      <c r="E13" s="1">
        <v>9259.61</v>
      </c>
      <c r="F13" s="1">
        <f t="shared" si="2"/>
        <v>2314.9025000000001</v>
      </c>
      <c r="G13" s="1">
        <f t="shared" si="3"/>
        <v>2606580.2150000003</v>
      </c>
      <c r="H13" s="1">
        <v>9177.69</v>
      </c>
      <c r="I13" s="1">
        <f t="shared" si="4"/>
        <v>2294.4225000000001</v>
      </c>
      <c r="J13" s="1">
        <f t="shared" si="5"/>
        <v>1002662.6325000001</v>
      </c>
      <c r="K13" s="1">
        <v>5664.77</v>
      </c>
      <c r="L13" s="1">
        <f t="shared" si="6"/>
        <v>1416.1925000000001</v>
      </c>
      <c r="M13" s="1">
        <f t="shared" si="7"/>
        <v>1335469.5275000001</v>
      </c>
      <c r="N13" s="1">
        <v>342.3</v>
      </c>
      <c r="O13" s="1">
        <f t="shared" si="8"/>
        <v>85.575000000000003</v>
      </c>
      <c r="P13" s="1">
        <f t="shared" si="9"/>
        <v>79499.175000000003</v>
      </c>
      <c r="Q13" s="1">
        <v>34.94</v>
      </c>
      <c r="R13" s="1">
        <f t="shared" si="10"/>
        <v>8.7349999999999994</v>
      </c>
      <c r="S13" s="1">
        <f t="shared" si="11"/>
        <v>1415.07</v>
      </c>
      <c r="T13" s="1">
        <v>231.2</v>
      </c>
      <c r="U13" s="1">
        <f t="shared" si="12"/>
        <v>57.8</v>
      </c>
      <c r="V13" s="1">
        <f t="shared" si="13"/>
        <v>1445</v>
      </c>
      <c r="W13" s="1">
        <v>1088.94</v>
      </c>
      <c r="X13" s="1">
        <f t="shared" si="14"/>
        <v>272.23500000000001</v>
      </c>
      <c r="Y13" s="1">
        <f t="shared" si="15"/>
        <v>816.70500000000004</v>
      </c>
      <c r="Z13" s="1">
        <v>123.47</v>
      </c>
      <c r="AA13" s="1">
        <f t="shared" si="16"/>
        <v>30.8675</v>
      </c>
      <c r="AB13" s="1">
        <f t="shared" si="17"/>
        <v>92.602499999999992</v>
      </c>
      <c r="AC13" s="1">
        <v>5.0999999999999996</v>
      </c>
      <c r="AD13" s="1">
        <f t="shared" si="18"/>
        <v>1.2749999999999999</v>
      </c>
      <c r="AE13" s="1">
        <f t="shared" si="19"/>
        <v>72.674999999999997</v>
      </c>
      <c r="AF13" s="1">
        <v>581.28</v>
      </c>
      <c r="AG13" s="1">
        <f t="shared" si="20"/>
        <v>145.32</v>
      </c>
      <c r="AH13" s="1">
        <f t="shared" si="21"/>
        <v>1453.1999999999998</v>
      </c>
      <c r="AI13" s="1">
        <v>4040.05</v>
      </c>
      <c r="AJ13" s="1">
        <f t="shared" si="22"/>
        <v>1010.0125</v>
      </c>
      <c r="AK13" s="5">
        <f t="shared" si="23"/>
        <v>18180.225000000002</v>
      </c>
      <c r="AL13" s="6">
        <f t="shared" si="24"/>
        <v>8579.4074999999993</v>
      </c>
      <c r="AM13" s="6">
        <f t="shared" si="24"/>
        <v>5309582.4874999998</v>
      </c>
      <c r="AN13" s="6">
        <f t="shared" si="25"/>
        <v>618.87519476140983</v>
      </c>
      <c r="AO13" s="6">
        <f t="shared" si="26"/>
        <v>0.61887519476140984</v>
      </c>
      <c r="AP13" s="6">
        <v>0.54785034548176492</v>
      </c>
    </row>
    <row r="14" spans="1:42" ht="14" x14ac:dyDescent="0.15">
      <c r="A14" s="1" t="s">
        <v>11</v>
      </c>
      <c r="B14" s="1">
        <v>3769.48</v>
      </c>
      <c r="C14" s="1">
        <f t="shared" si="0"/>
        <v>942.37</v>
      </c>
      <c r="D14" s="1">
        <f t="shared" si="1"/>
        <v>261978.86000000002</v>
      </c>
      <c r="E14" s="1">
        <v>9276.1</v>
      </c>
      <c r="F14" s="1">
        <f t="shared" si="2"/>
        <v>2319.0250000000001</v>
      </c>
      <c r="G14" s="1">
        <f t="shared" si="3"/>
        <v>2611222.15</v>
      </c>
      <c r="H14" s="1">
        <v>9146.85</v>
      </c>
      <c r="I14" s="1">
        <f t="shared" si="4"/>
        <v>2286.7125000000001</v>
      </c>
      <c r="J14" s="1">
        <f t="shared" si="5"/>
        <v>999293.36250000005</v>
      </c>
      <c r="K14" s="1">
        <v>5644.14</v>
      </c>
      <c r="L14" s="1">
        <f t="shared" si="6"/>
        <v>1411.0350000000001</v>
      </c>
      <c r="M14" s="1">
        <f t="shared" si="7"/>
        <v>1330606.0050000001</v>
      </c>
      <c r="N14" s="1">
        <v>342.17</v>
      </c>
      <c r="O14" s="1">
        <f t="shared" si="8"/>
        <v>85.542500000000004</v>
      </c>
      <c r="P14" s="1">
        <f t="shared" si="9"/>
        <v>79468.982499999998</v>
      </c>
      <c r="Q14" s="1">
        <v>35</v>
      </c>
      <c r="R14" s="1">
        <f t="shared" si="10"/>
        <v>8.75</v>
      </c>
      <c r="S14" s="1">
        <f t="shared" si="11"/>
        <v>1417.5</v>
      </c>
      <c r="T14" s="1">
        <v>141.85</v>
      </c>
      <c r="U14" s="1">
        <f t="shared" si="12"/>
        <v>35.462499999999999</v>
      </c>
      <c r="V14" s="1">
        <f t="shared" si="13"/>
        <v>886.5625</v>
      </c>
      <c r="W14" s="1">
        <v>1084.6400000000001</v>
      </c>
      <c r="X14" s="1">
        <f t="shared" si="14"/>
        <v>271.16000000000003</v>
      </c>
      <c r="Y14" s="1">
        <f t="shared" si="15"/>
        <v>813.48</v>
      </c>
      <c r="Z14" s="1">
        <v>108.26</v>
      </c>
      <c r="AA14" s="1">
        <f t="shared" si="16"/>
        <v>27.065000000000001</v>
      </c>
      <c r="AB14" s="1">
        <f t="shared" si="17"/>
        <v>81.195000000000007</v>
      </c>
      <c r="AC14" s="1">
        <v>7.97</v>
      </c>
      <c r="AD14" s="1">
        <f t="shared" si="18"/>
        <v>1.9924999999999999</v>
      </c>
      <c r="AE14" s="1">
        <f t="shared" si="19"/>
        <v>113.57249999999999</v>
      </c>
      <c r="AF14" s="1">
        <v>594.16</v>
      </c>
      <c r="AG14" s="1">
        <f t="shared" si="20"/>
        <v>148.54</v>
      </c>
      <c r="AH14" s="1">
        <f t="shared" si="21"/>
        <v>1485.3999999999999</v>
      </c>
      <c r="AI14" s="1">
        <v>3886.81</v>
      </c>
      <c r="AJ14" s="1">
        <f t="shared" si="22"/>
        <v>971.70249999999999</v>
      </c>
      <c r="AK14" s="5">
        <f t="shared" si="23"/>
        <v>17490.645</v>
      </c>
      <c r="AL14" s="6">
        <f t="shared" si="24"/>
        <v>8509.3574999999983</v>
      </c>
      <c r="AM14" s="6">
        <f t="shared" si="24"/>
        <v>5304857.7149999999</v>
      </c>
      <c r="AN14" s="6">
        <f t="shared" si="25"/>
        <v>623.41460151368665</v>
      </c>
      <c r="AO14" s="6">
        <f t="shared" si="26"/>
        <v>0.62341460151368666</v>
      </c>
      <c r="AP14" s="6">
        <v>0.5061261609984633</v>
      </c>
    </row>
    <row r="15" spans="1:42" ht="14" x14ac:dyDescent="0.15">
      <c r="A15" s="1" t="s">
        <v>12</v>
      </c>
      <c r="B15" s="1">
        <v>3758.94</v>
      </c>
      <c r="C15" s="1">
        <f t="shared" si="0"/>
        <v>939.73500000000001</v>
      </c>
      <c r="D15" s="1">
        <f t="shared" si="1"/>
        <v>261246.33000000002</v>
      </c>
      <c r="E15" s="1">
        <v>9277.4</v>
      </c>
      <c r="F15" s="1">
        <f t="shared" si="2"/>
        <v>2319.35</v>
      </c>
      <c r="G15" s="1">
        <f t="shared" si="3"/>
        <v>2611588.1</v>
      </c>
      <c r="H15" s="1">
        <v>9205.81</v>
      </c>
      <c r="I15" s="1">
        <f t="shared" si="4"/>
        <v>2301.4524999999999</v>
      </c>
      <c r="J15" s="1">
        <f t="shared" si="5"/>
        <v>1005734.7424999999</v>
      </c>
      <c r="K15" s="1">
        <v>5634.4</v>
      </c>
      <c r="L15" s="1">
        <f t="shared" si="6"/>
        <v>1408.6</v>
      </c>
      <c r="M15" s="1">
        <f t="shared" si="7"/>
        <v>1328309.7999999998</v>
      </c>
      <c r="N15" s="1">
        <v>342.3</v>
      </c>
      <c r="O15" s="1">
        <f t="shared" si="8"/>
        <v>85.575000000000003</v>
      </c>
      <c r="P15" s="1">
        <f t="shared" si="9"/>
        <v>79499.175000000003</v>
      </c>
      <c r="Q15" s="1">
        <v>35.049999999999997</v>
      </c>
      <c r="R15" s="1">
        <f t="shared" si="10"/>
        <v>8.7624999999999993</v>
      </c>
      <c r="S15" s="1">
        <f t="shared" si="11"/>
        <v>1419.5249999999999</v>
      </c>
      <c r="T15" s="1">
        <v>224.45</v>
      </c>
      <c r="U15" s="1">
        <f t="shared" si="12"/>
        <v>56.112499999999997</v>
      </c>
      <c r="V15" s="1">
        <f t="shared" si="13"/>
        <v>1402.8125</v>
      </c>
      <c r="W15" s="1">
        <v>1088.01</v>
      </c>
      <c r="X15" s="1">
        <f t="shared" si="14"/>
        <v>272.0025</v>
      </c>
      <c r="Y15" s="1">
        <f t="shared" si="15"/>
        <v>816.00749999999994</v>
      </c>
      <c r="Z15" s="1">
        <v>125.24</v>
      </c>
      <c r="AA15" s="1">
        <f t="shared" si="16"/>
        <v>31.31</v>
      </c>
      <c r="AB15" s="1">
        <f t="shared" si="17"/>
        <v>93.929999999999993</v>
      </c>
      <c r="AC15" s="1">
        <v>5.55</v>
      </c>
      <c r="AD15" s="1">
        <f t="shared" si="18"/>
        <v>1.3875</v>
      </c>
      <c r="AE15" s="1">
        <f t="shared" si="19"/>
        <v>79.087499999999991</v>
      </c>
      <c r="AF15" s="1">
        <v>646.88</v>
      </c>
      <c r="AG15" s="1">
        <f t="shared" si="20"/>
        <v>161.72</v>
      </c>
      <c r="AH15" s="1">
        <f t="shared" si="21"/>
        <v>1617.2</v>
      </c>
      <c r="AI15" s="1">
        <v>3748.43</v>
      </c>
      <c r="AJ15" s="1">
        <f t="shared" si="22"/>
        <v>937.10749999999996</v>
      </c>
      <c r="AK15" s="5">
        <f t="shared" si="23"/>
        <v>16867.934999999998</v>
      </c>
      <c r="AL15" s="6">
        <f t="shared" si="24"/>
        <v>8523.1149999999998</v>
      </c>
      <c r="AM15" s="6">
        <f t="shared" si="24"/>
        <v>5308674.6450000005</v>
      </c>
      <c r="AN15" s="6">
        <f t="shared" si="25"/>
        <v>622.85615587728205</v>
      </c>
      <c r="AO15" s="6">
        <f t="shared" si="26"/>
        <v>0.62285615587728205</v>
      </c>
      <c r="AP15" s="6">
        <v>0.46472558011819509</v>
      </c>
    </row>
    <row r="16" spans="1:42" ht="14" x14ac:dyDescent="0.15">
      <c r="A16" s="1" t="s">
        <v>13</v>
      </c>
      <c r="B16" s="1">
        <v>3763.01</v>
      </c>
      <c r="C16" s="1">
        <f t="shared" si="0"/>
        <v>940.75250000000005</v>
      </c>
      <c r="D16" s="1">
        <f t="shared" si="1"/>
        <v>261529.19500000001</v>
      </c>
      <c r="E16" s="1">
        <v>9247.9699999999993</v>
      </c>
      <c r="F16" s="1">
        <f t="shared" si="2"/>
        <v>2311.9924999999998</v>
      </c>
      <c r="G16" s="1">
        <f t="shared" si="3"/>
        <v>2603303.5549999997</v>
      </c>
      <c r="H16" s="1">
        <v>9218.94</v>
      </c>
      <c r="I16" s="1">
        <f t="shared" si="4"/>
        <v>2304.7350000000001</v>
      </c>
      <c r="J16" s="1">
        <f t="shared" si="5"/>
        <v>1007169.1950000001</v>
      </c>
      <c r="K16" s="1">
        <v>5637.52</v>
      </c>
      <c r="L16" s="1">
        <f t="shared" si="6"/>
        <v>1409.38</v>
      </c>
      <c r="M16" s="1">
        <f t="shared" si="7"/>
        <v>1329045.3400000001</v>
      </c>
      <c r="N16" s="1">
        <v>342.17</v>
      </c>
      <c r="O16" s="1">
        <f t="shared" si="8"/>
        <v>85.542500000000004</v>
      </c>
      <c r="P16" s="1">
        <f t="shared" si="9"/>
        <v>79468.982499999998</v>
      </c>
      <c r="Q16" s="1">
        <v>35.01</v>
      </c>
      <c r="R16" s="1">
        <f t="shared" si="10"/>
        <v>8.7524999999999995</v>
      </c>
      <c r="S16" s="1">
        <f t="shared" si="11"/>
        <v>1417.905</v>
      </c>
      <c r="T16" s="1">
        <v>139.62</v>
      </c>
      <c r="U16" s="1">
        <f t="shared" si="12"/>
        <v>34.905000000000001</v>
      </c>
      <c r="V16" s="1">
        <f t="shared" si="13"/>
        <v>872.625</v>
      </c>
      <c r="W16" s="1">
        <v>1090</v>
      </c>
      <c r="X16" s="1">
        <f t="shared" si="14"/>
        <v>272.5</v>
      </c>
      <c r="Y16" s="1">
        <f t="shared" si="15"/>
        <v>817.5</v>
      </c>
      <c r="Z16" s="1">
        <v>106.83</v>
      </c>
      <c r="AA16" s="1">
        <f t="shared" si="16"/>
        <v>26.7075</v>
      </c>
      <c r="AB16" s="1">
        <f t="shared" si="17"/>
        <v>80.122500000000002</v>
      </c>
      <c r="AC16" s="1">
        <v>5.35</v>
      </c>
      <c r="AD16" s="1">
        <f t="shared" si="18"/>
        <v>1.3374999999999999</v>
      </c>
      <c r="AE16" s="1">
        <f t="shared" si="19"/>
        <v>76.237499999999997</v>
      </c>
      <c r="AF16" s="1">
        <v>732.31</v>
      </c>
      <c r="AG16" s="1">
        <f t="shared" si="20"/>
        <v>183.07749999999999</v>
      </c>
      <c r="AH16" s="1">
        <f t="shared" si="21"/>
        <v>1830.7749999999999</v>
      </c>
      <c r="AI16" s="1">
        <v>3566.15</v>
      </c>
      <c r="AJ16" s="1">
        <f t="shared" si="22"/>
        <v>891.53750000000002</v>
      </c>
      <c r="AK16" s="5">
        <f t="shared" si="23"/>
        <v>16047.675000000001</v>
      </c>
      <c r="AL16" s="6">
        <f t="shared" si="24"/>
        <v>8471.2199999999993</v>
      </c>
      <c r="AM16" s="6">
        <f t="shared" si="24"/>
        <v>5301659.107499999</v>
      </c>
      <c r="AN16" s="6">
        <f t="shared" si="25"/>
        <v>625.84363379772913</v>
      </c>
      <c r="AO16" s="6">
        <f t="shared" si="26"/>
        <v>0.62584363379772912</v>
      </c>
      <c r="AP16" s="6">
        <v>0.41452311146069409</v>
      </c>
    </row>
    <row r="17" spans="1:42" ht="14" x14ac:dyDescent="0.15">
      <c r="A17" s="1" t="s">
        <v>14</v>
      </c>
      <c r="B17" s="1">
        <v>3766.5</v>
      </c>
      <c r="C17" s="1">
        <f t="shared" si="0"/>
        <v>941.625</v>
      </c>
      <c r="D17" s="1">
        <f t="shared" si="1"/>
        <v>261771.75</v>
      </c>
      <c r="E17" s="1">
        <v>9278.91</v>
      </c>
      <c r="F17" s="1">
        <f t="shared" si="2"/>
        <v>2319.7275</v>
      </c>
      <c r="G17" s="1">
        <f t="shared" si="3"/>
        <v>2612013.165</v>
      </c>
      <c r="H17" s="1">
        <v>9225.25</v>
      </c>
      <c r="I17" s="1">
        <f t="shared" si="4"/>
        <v>2306.3125</v>
      </c>
      <c r="J17" s="1">
        <f t="shared" si="5"/>
        <v>1007858.5625</v>
      </c>
      <c r="K17" s="1">
        <v>5639.41</v>
      </c>
      <c r="L17" s="1">
        <f t="shared" si="6"/>
        <v>1409.8525</v>
      </c>
      <c r="M17" s="1">
        <f t="shared" si="7"/>
        <v>1329490.9075</v>
      </c>
      <c r="N17" s="1">
        <v>342.17</v>
      </c>
      <c r="O17" s="1">
        <f t="shared" si="8"/>
        <v>85.542500000000004</v>
      </c>
      <c r="P17" s="1">
        <f t="shared" si="9"/>
        <v>79468.982499999998</v>
      </c>
      <c r="Q17" s="1">
        <v>34.96</v>
      </c>
      <c r="R17" s="1">
        <f t="shared" si="10"/>
        <v>8.74</v>
      </c>
      <c r="S17" s="1">
        <f t="shared" si="11"/>
        <v>1415.88</v>
      </c>
      <c r="T17" s="1">
        <v>206.39</v>
      </c>
      <c r="U17" s="1">
        <f t="shared" si="12"/>
        <v>51.597499999999997</v>
      </c>
      <c r="V17" s="1">
        <f t="shared" si="13"/>
        <v>1289.9375</v>
      </c>
      <c r="W17" s="1">
        <v>1096.52</v>
      </c>
      <c r="X17" s="1">
        <f t="shared" si="14"/>
        <v>274.13</v>
      </c>
      <c r="Y17" s="1">
        <f t="shared" si="15"/>
        <v>822.39</v>
      </c>
      <c r="Z17" s="1">
        <v>149.80000000000001</v>
      </c>
      <c r="AA17" s="1">
        <f t="shared" si="16"/>
        <v>37.450000000000003</v>
      </c>
      <c r="AB17" s="1">
        <f t="shared" si="17"/>
        <v>112.35000000000001</v>
      </c>
      <c r="AC17" s="1">
        <v>5.3</v>
      </c>
      <c r="AD17" s="1">
        <f t="shared" si="18"/>
        <v>1.325</v>
      </c>
      <c r="AE17" s="1">
        <f t="shared" si="19"/>
        <v>75.524999999999991</v>
      </c>
      <c r="AF17" s="1">
        <v>859.08</v>
      </c>
      <c r="AG17" s="1">
        <f t="shared" si="20"/>
        <v>214.77</v>
      </c>
      <c r="AH17" s="1">
        <f t="shared" si="21"/>
        <v>2147.7000000000003</v>
      </c>
      <c r="AI17" s="1">
        <v>3369.17</v>
      </c>
      <c r="AJ17" s="1">
        <f t="shared" si="22"/>
        <v>842.29250000000002</v>
      </c>
      <c r="AK17" s="5">
        <f t="shared" si="23"/>
        <v>15161.264999999999</v>
      </c>
      <c r="AL17" s="6">
        <f t="shared" si="24"/>
        <v>8493.3649999999998</v>
      </c>
      <c r="AM17" s="6">
        <f t="shared" si="24"/>
        <v>5311628.4149999991</v>
      </c>
      <c r="AN17" s="6">
        <f t="shared" si="25"/>
        <v>625.38562925295207</v>
      </c>
      <c r="AO17" s="6">
        <f t="shared" si="26"/>
        <v>0.62538562925295205</v>
      </c>
      <c r="AP17" s="6">
        <v>0.33169740839187256</v>
      </c>
    </row>
    <row r="18" spans="1:42" ht="14" x14ac:dyDescent="0.15">
      <c r="A18" s="1" t="s">
        <v>15</v>
      </c>
      <c r="B18" s="1">
        <v>3773.77</v>
      </c>
      <c r="C18" s="1">
        <f t="shared" si="0"/>
        <v>943.4425</v>
      </c>
      <c r="D18" s="1">
        <f t="shared" si="1"/>
        <v>262277.01500000001</v>
      </c>
      <c r="E18" s="1">
        <v>9265.2199999999993</v>
      </c>
      <c r="F18" s="1">
        <f t="shared" si="2"/>
        <v>2316.3049999999998</v>
      </c>
      <c r="G18" s="1">
        <f t="shared" si="3"/>
        <v>2608159.4299999997</v>
      </c>
      <c r="H18" s="1">
        <v>9228.82</v>
      </c>
      <c r="I18" s="1">
        <f t="shared" si="4"/>
        <v>2307.2049999999999</v>
      </c>
      <c r="J18" s="1">
        <f t="shared" si="5"/>
        <v>1008248.585</v>
      </c>
      <c r="K18" s="1">
        <v>5629.47</v>
      </c>
      <c r="L18" s="1">
        <f t="shared" si="6"/>
        <v>1407.3675000000001</v>
      </c>
      <c r="M18" s="1">
        <f t="shared" si="7"/>
        <v>1327147.5525</v>
      </c>
      <c r="N18" s="1">
        <v>342.17</v>
      </c>
      <c r="O18" s="1">
        <f t="shared" si="8"/>
        <v>85.542500000000004</v>
      </c>
      <c r="P18" s="1">
        <f t="shared" si="9"/>
        <v>79468.982499999998</v>
      </c>
      <c r="Q18" s="1">
        <v>34.99</v>
      </c>
      <c r="R18" s="1">
        <f t="shared" si="10"/>
        <v>8.7475000000000005</v>
      </c>
      <c r="S18" s="1">
        <f t="shared" si="11"/>
        <v>1417.095</v>
      </c>
      <c r="T18" s="1">
        <v>175.08</v>
      </c>
      <c r="U18" s="1">
        <f t="shared" si="12"/>
        <v>43.77</v>
      </c>
      <c r="V18" s="1">
        <f t="shared" si="13"/>
        <v>1094.25</v>
      </c>
      <c r="W18" s="1">
        <v>1092.95</v>
      </c>
      <c r="X18" s="1">
        <f t="shared" si="14"/>
        <v>273.23750000000001</v>
      </c>
      <c r="Y18" s="1">
        <f t="shared" si="15"/>
        <v>819.71250000000009</v>
      </c>
      <c r="Z18" s="1">
        <v>154.76</v>
      </c>
      <c r="AA18" s="1">
        <f t="shared" si="16"/>
        <v>38.69</v>
      </c>
      <c r="AB18" s="1">
        <f t="shared" si="17"/>
        <v>116.07</v>
      </c>
      <c r="AC18" s="1">
        <v>5.24</v>
      </c>
      <c r="AD18" s="1">
        <f t="shared" si="18"/>
        <v>1.31</v>
      </c>
      <c r="AE18" s="1">
        <f t="shared" si="19"/>
        <v>74.67</v>
      </c>
      <c r="AF18" s="1">
        <v>980.93</v>
      </c>
      <c r="AG18" s="1">
        <f t="shared" si="20"/>
        <v>245.23249999999999</v>
      </c>
      <c r="AH18" s="1">
        <f t="shared" si="21"/>
        <v>2452.3249999999998</v>
      </c>
      <c r="AI18" s="1">
        <v>3215</v>
      </c>
      <c r="AJ18" s="1">
        <f t="shared" si="22"/>
        <v>803.75</v>
      </c>
      <c r="AK18" s="5">
        <f t="shared" si="23"/>
        <v>14467.5</v>
      </c>
      <c r="AL18" s="6">
        <f t="shared" si="24"/>
        <v>8474.6</v>
      </c>
      <c r="AM18" s="6">
        <f t="shared" si="24"/>
        <v>5305743.1875</v>
      </c>
      <c r="AN18" s="6">
        <f t="shared" si="25"/>
        <v>626.07594311235925</v>
      </c>
      <c r="AO18" s="6">
        <f t="shared" si="26"/>
        <v>0.62607594311235926</v>
      </c>
      <c r="AP18" s="6">
        <v>0.26650940659967221</v>
      </c>
    </row>
    <row r="19" spans="1:42" ht="14" x14ac:dyDescent="0.15">
      <c r="A19" s="1" t="s">
        <v>16</v>
      </c>
      <c r="B19" s="1">
        <v>3789.91</v>
      </c>
      <c r="C19" s="1">
        <f t="shared" si="0"/>
        <v>947.47749999999996</v>
      </c>
      <c r="D19" s="1">
        <f t="shared" si="1"/>
        <v>263398.745</v>
      </c>
      <c r="E19" s="1">
        <v>9236.44</v>
      </c>
      <c r="F19" s="1">
        <f t="shared" si="2"/>
        <v>2309.11</v>
      </c>
      <c r="G19" s="1">
        <f t="shared" si="3"/>
        <v>2600057.8600000003</v>
      </c>
      <c r="H19" s="1">
        <v>9301.08</v>
      </c>
      <c r="I19" s="1">
        <f t="shared" si="4"/>
        <v>2325.27</v>
      </c>
      <c r="J19" s="1">
        <f t="shared" si="5"/>
        <v>1016142.99</v>
      </c>
      <c r="K19" s="1">
        <v>5648.81</v>
      </c>
      <c r="L19" s="1">
        <f t="shared" si="6"/>
        <v>1412.2025000000001</v>
      </c>
      <c r="M19" s="1">
        <f t="shared" si="7"/>
        <v>1331706.9575</v>
      </c>
      <c r="N19" s="1">
        <v>342.17</v>
      </c>
      <c r="O19" s="1">
        <f t="shared" si="8"/>
        <v>85.542500000000004</v>
      </c>
      <c r="P19" s="1">
        <f t="shared" si="9"/>
        <v>79468.982499999998</v>
      </c>
      <c r="Q19" s="1">
        <v>35.01</v>
      </c>
      <c r="R19" s="1">
        <f t="shared" si="10"/>
        <v>8.7524999999999995</v>
      </c>
      <c r="S19" s="1">
        <f t="shared" si="11"/>
        <v>1417.905</v>
      </c>
      <c r="T19" s="1">
        <v>179.62</v>
      </c>
      <c r="U19" s="1">
        <f t="shared" si="12"/>
        <v>44.905000000000001</v>
      </c>
      <c r="V19" s="1">
        <f t="shared" si="13"/>
        <v>1122.625</v>
      </c>
      <c r="W19" s="1">
        <v>1088.29</v>
      </c>
      <c r="X19" s="1">
        <f t="shared" si="14"/>
        <v>272.07249999999999</v>
      </c>
      <c r="Y19" s="1">
        <f t="shared" si="15"/>
        <v>816.21749999999997</v>
      </c>
      <c r="Z19" s="1">
        <v>131.94</v>
      </c>
      <c r="AA19" s="1">
        <f t="shared" si="16"/>
        <v>32.984999999999999</v>
      </c>
      <c r="AB19" s="1">
        <f t="shared" si="17"/>
        <v>98.954999999999998</v>
      </c>
      <c r="AC19" s="1">
        <v>5.13</v>
      </c>
      <c r="AD19" s="1">
        <f t="shared" si="18"/>
        <v>1.2825</v>
      </c>
      <c r="AE19" s="1">
        <f t="shared" si="19"/>
        <v>73.102499999999992</v>
      </c>
      <c r="AF19" s="1">
        <v>1049.52</v>
      </c>
      <c r="AG19" s="1">
        <f t="shared" si="20"/>
        <v>262.38</v>
      </c>
      <c r="AH19" s="1">
        <f t="shared" si="21"/>
        <v>2623.8</v>
      </c>
      <c r="AI19" s="1">
        <v>3117.36</v>
      </c>
      <c r="AJ19" s="1">
        <f t="shared" si="22"/>
        <v>779.34</v>
      </c>
      <c r="AK19" s="5">
        <f t="shared" si="23"/>
        <v>14028.12</v>
      </c>
      <c r="AL19" s="6">
        <f t="shared" si="24"/>
        <v>8481.32</v>
      </c>
      <c r="AM19" s="6">
        <f t="shared" si="24"/>
        <v>5310956.2600000007</v>
      </c>
      <c r="AN19" s="6">
        <f t="shared" si="25"/>
        <v>626.19453811435028</v>
      </c>
      <c r="AO19" s="6">
        <f t="shared" si="26"/>
        <v>0.62619453811435033</v>
      </c>
      <c r="AP19" s="6">
        <v>0.21250693633079734</v>
      </c>
    </row>
    <row r="20" spans="1:42" ht="14" x14ac:dyDescent="0.15">
      <c r="A20" s="1" t="s">
        <v>17</v>
      </c>
      <c r="B20" s="1">
        <v>3804.35</v>
      </c>
      <c r="C20" s="1">
        <f t="shared" si="0"/>
        <v>951.08749999999998</v>
      </c>
      <c r="D20" s="1">
        <f t="shared" si="1"/>
        <v>264402.32500000001</v>
      </c>
      <c r="E20" s="1">
        <v>9255.14</v>
      </c>
      <c r="F20" s="1">
        <f t="shared" si="2"/>
        <v>2313.7849999999999</v>
      </c>
      <c r="G20" s="1">
        <f t="shared" si="3"/>
        <v>2605321.9099999997</v>
      </c>
      <c r="H20" s="1">
        <v>9305.3700000000008</v>
      </c>
      <c r="I20" s="1">
        <f t="shared" si="4"/>
        <v>2326.3425000000002</v>
      </c>
      <c r="J20" s="1">
        <f t="shared" si="5"/>
        <v>1016611.6725000001</v>
      </c>
      <c r="K20" s="1">
        <v>5650.84</v>
      </c>
      <c r="L20" s="1">
        <f t="shared" si="6"/>
        <v>1412.71</v>
      </c>
      <c r="M20" s="1">
        <f t="shared" si="7"/>
        <v>1332185.53</v>
      </c>
      <c r="N20" s="1">
        <v>342.17</v>
      </c>
      <c r="O20" s="1">
        <f t="shared" si="8"/>
        <v>85.542500000000004</v>
      </c>
      <c r="P20" s="1">
        <f t="shared" si="9"/>
        <v>79468.982499999998</v>
      </c>
      <c r="Q20" s="1">
        <v>35.01</v>
      </c>
      <c r="R20" s="1">
        <f t="shared" si="10"/>
        <v>8.7524999999999995</v>
      </c>
      <c r="S20" s="1">
        <f t="shared" si="11"/>
        <v>1417.905</v>
      </c>
      <c r="T20" s="1">
        <v>196.97</v>
      </c>
      <c r="U20" s="1">
        <f t="shared" si="12"/>
        <v>49.2425</v>
      </c>
      <c r="V20" s="1">
        <f t="shared" si="13"/>
        <v>1231.0625</v>
      </c>
      <c r="W20" s="1">
        <v>1084.07</v>
      </c>
      <c r="X20" s="1">
        <f t="shared" si="14"/>
        <v>271.01749999999998</v>
      </c>
      <c r="Y20" s="1">
        <f t="shared" si="15"/>
        <v>813.05250000000001</v>
      </c>
      <c r="Z20" s="1">
        <v>129.88999999999999</v>
      </c>
      <c r="AA20" s="1">
        <f t="shared" si="16"/>
        <v>32.472499999999997</v>
      </c>
      <c r="AB20" s="1">
        <f t="shared" si="17"/>
        <v>97.41749999999999</v>
      </c>
      <c r="AC20" s="1">
        <v>5.36</v>
      </c>
      <c r="AD20" s="1">
        <f t="shared" si="18"/>
        <v>1.34</v>
      </c>
      <c r="AE20" s="1">
        <f t="shared" si="19"/>
        <v>76.38000000000001</v>
      </c>
      <c r="AF20" s="1">
        <v>1131.81</v>
      </c>
      <c r="AG20" s="1">
        <f t="shared" si="20"/>
        <v>282.95249999999999</v>
      </c>
      <c r="AH20" s="1">
        <f t="shared" si="21"/>
        <v>2829.5249999999996</v>
      </c>
      <c r="AI20" s="1">
        <v>3011.25</v>
      </c>
      <c r="AJ20" s="1">
        <f t="shared" si="22"/>
        <v>752.8125</v>
      </c>
      <c r="AK20" s="5">
        <f t="shared" si="23"/>
        <v>13550.625</v>
      </c>
      <c r="AL20" s="6">
        <f t="shared" si="24"/>
        <v>8488.057499999999</v>
      </c>
      <c r="AM20" s="6">
        <f t="shared" si="24"/>
        <v>5318006.3875000011</v>
      </c>
      <c r="AN20" s="6">
        <f t="shared" si="25"/>
        <v>626.52808224967862</v>
      </c>
      <c r="AO20" s="6">
        <f t="shared" si="26"/>
        <v>0.6265280822496786</v>
      </c>
      <c r="AP20" s="6">
        <v>0.20274358474575838</v>
      </c>
    </row>
    <row r="21" spans="1:42" ht="14" x14ac:dyDescent="0.15">
      <c r="A21" s="1" t="s">
        <v>18</v>
      </c>
      <c r="B21" s="1">
        <v>3805.73</v>
      </c>
      <c r="C21" s="1">
        <f t="shared" si="0"/>
        <v>951.4325</v>
      </c>
      <c r="D21" s="1">
        <f t="shared" si="1"/>
        <v>264498.23499999999</v>
      </c>
      <c r="E21" s="1">
        <v>9211.4599999999991</v>
      </c>
      <c r="F21" s="1">
        <f t="shared" si="2"/>
        <v>2302.8649999999998</v>
      </c>
      <c r="G21" s="1">
        <f t="shared" si="3"/>
        <v>2593025.9899999998</v>
      </c>
      <c r="H21" s="1">
        <v>9312.7000000000007</v>
      </c>
      <c r="I21" s="1">
        <f t="shared" si="4"/>
        <v>2328.1750000000002</v>
      </c>
      <c r="J21" s="1">
        <f t="shared" si="5"/>
        <v>1017412.4750000001</v>
      </c>
      <c r="K21" s="1">
        <v>5652.52</v>
      </c>
      <c r="L21" s="1">
        <f t="shared" si="6"/>
        <v>1413.13</v>
      </c>
      <c r="M21" s="1">
        <f t="shared" si="7"/>
        <v>1332581.5900000001</v>
      </c>
      <c r="N21" s="1">
        <v>342.17</v>
      </c>
      <c r="O21" s="1">
        <f t="shared" si="8"/>
        <v>85.542500000000004</v>
      </c>
      <c r="P21" s="1">
        <f t="shared" si="9"/>
        <v>79468.982499999998</v>
      </c>
      <c r="Q21" s="1">
        <v>34.92</v>
      </c>
      <c r="R21" s="1">
        <f t="shared" si="10"/>
        <v>8.73</v>
      </c>
      <c r="S21" s="1">
        <f t="shared" si="11"/>
        <v>1414.26</v>
      </c>
      <c r="T21" s="1">
        <v>264.89999999999998</v>
      </c>
      <c r="U21" s="1">
        <f t="shared" si="12"/>
        <v>66.224999999999994</v>
      </c>
      <c r="V21" s="1">
        <f t="shared" si="13"/>
        <v>1655.6249999999998</v>
      </c>
      <c r="W21" s="1">
        <v>1086.46</v>
      </c>
      <c r="X21" s="1">
        <f t="shared" si="14"/>
        <v>271.61500000000001</v>
      </c>
      <c r="Y21" s="1">
        <f t="shared" si="15"/>
        <v>814.84500000000003</v>
      </c>
      <c r="Z21" s="1">
        <v>195.02</v>
      </c>
      <c r="AA21" s="1">
        <f t="shared" si="16"/>
        <v>48.755000000000003</v>
      </c>
      <c r="AB21" s="1">
        <f t="shared" si="17"/>
        <v>146.26500000000001</v>
      </c>
      <c r="AC21" s="1">
        <v>7.56</v>
      </c>
      <c r="AD21" s="1">
        <f t="shared" si="18"/>
        <v>1.89</v>
      </c>
      <c r="AE21" s="1">
        <f t="shared" si="19"/>
        <v>107.72999999999999</v>
      </c>
      <c r="AF21" s="1">
        <v>1180.44</v>
      </c>
      <c r="AG21" s="1">
        <f t="shared" si="20"/>
        <v>295.11</v>
      </c>
      <c r="AH21" s="1">
        <f t="shared" si="21"/>
        <v>2951.1000000000004</v>
      </c>
      <c r="AI21" s="1">
        <v>2937.54</v>
      </c>
      <c r="AJ21" s="1">
        <f t="shared" si="22"/>
        <v>734.38499999999999</v>
      </c>
      <c r="AK21" s="5">
        <f t="shared" si="23"/>
        <v>13218.93</v>
      </c>
      <c r="AL21" s="6">
        <f t="shared" si="24"/>
        <v>8507.8549999999996</v>
      </c>
      <c r="AM21" s="6">
        <f t="shared" si="24"/>
        <v>5307296.0274999989</v>
      </c>
      <c r="AN21" s="6">
        <f t="shared" si="25"/>
        <v>623.8112929169572</v>
      </c>
      <c r="AO21" s="6">
        <f t="shared" si="26"/>
        <v>0.62381129291695725</v>
      </c>
      <c r="AP21" s="6">
        <v>0.19453204269104526</v>
      </c>
    </row>
    <row r="22" spans="1:42" ht="14" x14ac:dyDescent="0.15">
      <c r="A22" s="1" t="s">
        <v>19</v>
      </c>
      <c r="B22" s="1">
        <v>3809.7</v>
      </c>
      <c r="C22" s="1">
        <f t="shared" si="0"/>
        <v>952.42499999999995</v>
      </c>
      <c r="D22" s="1">
        <f t="shared" si="1"/>
        <v>264774.14999999997</v>
      </c>
      <c r="E22" s="1">
        <v>9207.36</v>
      </c>
      <c r="F22" s="1">
        <f t="shared" si="2"/>
        <v>2301.84</v>
      </c>
      <c r="G22" s="1">
        <f t="shared" si="3"/>
        <v>2591871.8400000003</v>
      </c>
      <c r="H22" s="1">
        <v>9352.1</v>
      </c>
      <c r="I22" s="1">
        <f t="shared" si="4"/>
        <v>2338.0250000000001</v>
      </c>
      <c r="J22" s="1">
        <f t="shared" si="5"/>
        <v>1021716.925</v>
      </c>
      <c r="K22" s="1">
        <v>5656.37</v>
      </c>
      <c r="L22" s="1">
        <f t="shared" si="6"/>
        <v>1414.0925</v>
      </c>
      <c r="M22" s="1">
        <f t="shared" si="7"/>
        <v>1333489.2275</v>
      </c>
      <c r="N22" s="1">
        <v>342.17</v>
      </c>
      <c r="O22" s="1">
        <f t="shared" si="8"/>
        <v>85.542500000000004</v>
      </c>
      <c r="P22" s="1">
        <f t="shared" si="9"/>
        <v>79468.982499999998</v>
      </c>
      <c r="Q22" s="1">
        <v>34.950000000000003</v>
      </c>
      <c r="R22" s="1">
        <f t="shared" si="10"/>
        <v>8.7375000000000007</v>
      </c>
      <c r="S22" s="1">
        <f t="shared" si="11"/>
        <v>1415.4750000000001</v>
      </c>
      <c r="T22" s="1">
        <v>319.92</v>
      </c>
      <c r="U22" s="1">
        <f t="shared" si="12"/>
        <v>79.98</v>
      </c>
      <c r="V22" s="1">
        <f t="shared" si="13"/>
        <v>1999.5</v>
      </c>
      <c r="W22" s="1">
        <v>1087.83</v>
      </c>
      <c r="X22" s="1">
        <f t="shared" si="14"/>
        <v>271.95749999999998</v>
      </c>
      <c r="Y22" s="1">
        <f t="shared" si="15"/>
        <v>815.87249999999995</v>
      </c>
      <c r="Z22" s="1">
        <v>187.5</v>
      </c>
      <c r="AA22" s="1">
        <f t="shared" si="16"/>
        <v>46.875</v>
      </c>
      <c r="AB22" s="1">
        <f t="shared" si="17"/>
        <v>140.625</v>
      </c>
      <c r="AC22" s="1">
        <v>8.02</v>
      </c>
      <c r="AD22" s="1">
        <f t="shared" si="18"/>
        <v>2.0049999999999999</v>
      </c>
      <c r="AE22" s="1">
        <f t="shared" si="19"/>
        <v>114.285</v>
      </c>
      <c r="AF22" s="1">
        <v>1310.24</v>
      </c>
      <c r="AG22" s="1">
        <f t="shared" si="20"/>
        <v>327.56</v>
      </c>
      <c r="AH22" s="1">
        <f t="shared" si="21"/>
        <v>3275.6</v>
      </c>
      <c r="AI22" s="1">
        <v>2975.78</v>
      </c>
      <c r="AJ22" s="1">
        <f t="shared" si="22"/>
        <v>743.94500000000005</v>
      </c>
      <c r="AK22" s="5">
        <f t="shared" si="23"/>
        <v>13391.01</v>
      </c>
      <c r="AL22" s="6">
        <f t="shared" si="24"/>
        <v>8572.9850000000006</v>
      </c>
      <c r="AM22" s="6">
        <f t="shared" si="24"/>
        <v>5312473.4924999988</v>
      </c>
      <c r="AN22" s="6">
        <f t="shared" si="25"/>
        <v>619.67605128202115</v>
      </c>
      <c r="AO22" s="6">
        <f t="shared" si="26"/>
        <v>0.61967605128202119</v>
      </c>
      <c r="AP22" s="6">
        <v>0.19849931980540922</v>
      </c>
    </row>
    <row r="23" spans="1:42" ht="14" x14ac:dyDescent="0.15">
      <c r="A23" s="1" t="s">
        <v>20</v>
      </c>
      <c r="B23" s="1">
        <v>3862.12</v>
      </c>
      <c r="C23" s="1">
        <f t="shared" si="0"/>
        <v>965.53</v>
      </c>
      <c r="D23" s="1">
        <f t="shared" si="1"/>
        <v>268417.33999999997</v>
      </c>
      <c r="E23" s="1">
        <v>9208.2000000000007</v>
      </c>
      <c r="F23" s="1">
        <f t="shared" si="2"/>
        <v>2302.0500000000002</v>
      </c>
      <c r="G23" s="1">
        <f t="shared" si="3"/>
        <v>2592108.3000000003</v>
      </c>
      <c r="H23" s="1">
        <v>9399.15</v>
      </c>
      <c r="I23" s="1">
        <f t="shared" si="4"/>
        <v>2349.7874999999999</v>
      </c>
      <c r="J23" s="1">
        <f t="shared" si="5"/>
        <v>1026857.1375</v>
      </c>
      <c r="K23" s="1">
        <v>5739.89</v>
      </c>
      <c r="L23" s="1">
        <f t="shared" si="6"/>
        <v>1434.9725000000001</v>
      </c>
      <c r="M23" s="1">
        <f t="shared" si="7"/>
        <v>1353179.0675000001</v>
      </c>
      <c r="N23" s="1">
        <v>342.17</v>
      </c>
      <c r="O23" s="1">
        <f t="shared" si="8"/>
        <v>85.542500000000004</v>
      </c>
      <c r="P23" s="1">
        <f t="shared" si="9"/>
        <v>79468.982499999998</v>
      </c>
      <c r="Q23" s="1">
        <v>34.92</v>
      </c>
      <c r="R23" s="1">
        <f t="shared" si="10"/>
        <v>8.73</v>
      </c>
      <c r="S23" s="1">
        <f t="shared" si="11"/>
        <v>1414.26</v>
      </c>
      <c r="T23" s="1">
        <v>144.59</v>
      </c>
      <c r="U23" s="1">
        <f t="shared" si="12"/>
        <v>36.147500000000001</v>
      </c>
      <c r="V23" s="1">
        <f t="shared" si="13"/>
        <v>903.6875</v>
      </c>
      <c r="W23" s="1">
        <v>1083.98</v>
      </c>
      <c r="X23" s="1">
        <f t="shared" si="14"/>
        <v>270.995</v>
      </c>
      <c r="Y23" s="1">
        <f t="shared" si="15"/>
        <v>812.98500000000001</v>
      </c>
      <c r="Z23" s="1">
        <v>124.8</v>
      </c>
      <c r="AA23" s="1">
        <f t="shared" si="16"/>
        <v>31.2</v>
      </c>
      <c r="AB23" s="1">
        <f t="shared" si="17"/>
        <v>93.6</v>
      </c>
      <c r="AC23" s="1">
        <v>5.88</v>
      </c>
      <c r="AD23" s="1">
        <f t="shared" si="18"/>
        <v>1.47</v>
      </c>
      <c r="AE23" s="1">
        <f t="shared" si="19"/>
        <v>83.789999999999992</v>
      </c>
      <c r="AF23" s="1">
        <v>1508.06</v>
      </c>
      <c r="AG23" s="1">
        <f t="shared" si="20"/>
        <v>377.01499999999999</v>
      </c>
      <c r="AH23" s="1">
        <f t="shared" si="21"/>
        <v>3770.1499999999996</v>
      </c>
      <c r="AI23" s="1">
        <v>2942.86</v>
      </c>
      <c r="AJ23" s="1">
        <f t="shared" si="22"/>
        <v>735.71500000000003</v>
      </c>
      <c r="AK23" s="5">
        <f t="shared" si="23"/>
        <v>13242.87</v>
      </c>
      <c r="AL23" s="6">
        <f t="shared" si="24"/>
        <v>8599.1549999999988</v>
      </c>
      <c r="AM23" s="6">
        <f t="shared" si="24"/>
        <v>5340352.17</v>
      </c>
      <c r="AN23" s="6">
        <f t="shared" si="25"/>
        <v>621.03220258269573</v>
      </c>
      <c r="AO23" s="6">
        <f t="shared" si="26"/>
        <v>0.62103220258269576</v>
      </c>
      <c r="AP23" s="6">
        <v>0.2315990157195697</v>
      </c>
    </row>
    <row r="24" spans="1:42" ht="14" x14ac:dyDescent="0.15">
      <c r="A24" s="1" t="s">
        <v>21</v>
      </c>
      <c r="B24" s="1">
        <v>3886.78</v>
      </c>
      <c r="C24" s="1">
        <f t="shared" si="0"/>
        <v>971.69500000000005</v>
      </c>
      <c r="D24" s="1">
        <f t="shared" si="1"/>
        <v>270131.21000000002</v>
      </c>
      <c r="E24" s="1">
        <v>9216.86</v>
      </c>
      <c r="F24" s="1">
        <f t="shared" si="2"/>
        <v>2304.2150000000001</v>
      </c>
      <c r="G24" s="1">
        <f t="shared" si="3"/>
        <v>2594546.0900000003</v>
      </c>
      <c r="H24" s="1">
        <v>9353.69</v>
      </c>
      <c r="I24" s="1">
        <f t="shared" si="4"/>
        <v>2338.4225000000001</v>
      </c>
      <c r="J24" s="1">
        <f t="shared" si="5"/>
        <v>1021890.6325000001</v>
      </c>
      <c r="K24" s="1">
        <v>5751.19</v>
      </c>
      <c r="L24" s="1">
        <f t="shared" si="6"/>
        <v>1437.7974999999999</v>
      </c>
      <c r="M24" s="1">
        <f t="shared" si="7"/>
        <v>1355843.0425</v>
      </c>
      <c r="N24" s="1">
        <v>342.17</v>
      </c>
      <c r="O24" s="1">
        <f t="shared" si="8"/>
        <v>85.542500000000004</v>
      </c>
      <c r="P24" s="1">
        <f t="shared" si="9"/>
        <v>79468.982499999998</v>
      </c>
      <c r="Q24" s="1">
        <v>34.93</v>
      </c>
      <c r="R24" s="1">
        <f t="shared" si="10"/>
        <v>8.7324999999999999</v>
      </c>
      <c r="S24" s="1">
        <f t="shared" si="11"/>
        <v>1414.665</v>
      </c>
      <c r="T24" s="1">
        <v>223.43</v>
      </c>
      <c r="U24" s="1">
        <f t="shared" si="12"/>
        <v>55.857500000000002</v>
      </c>
      <c r="V24" s="1">
        <f t="shared" si="13"/>
        <v>1396.4375</v>
      </c>
      <c r="W24" s="1">
        <v>1084.48</v>
      </c>
      <c r="X24" s="1">
        <f t="shared" si="14"/>
        <v>271.12</v>
      </c>
      <c r="Y24" s="1">
        <f t="shared" si="15"/>
        <v>813.36</v>
      </c>
      <c r="Z24" s="1">
        <v>159.4</v>
      </c>
      <c r="AA24" s="1">
        <f t="shared" si="16"/>
        <v>39.85</v>
      </c>
      <c r="AB24" s="1">
        <f t="shared" si="17"/>
        <v>119.55000000000001</v>
      </c>
      <c r="AC24" s="1">
        <v>6.05</v>
      </c>
      <c r="AD24" s="1">
        <f t="shared" si="18"/>
        <v>1.5125</v>
      </c>
      <c r="AE24" s="1">
        <f t="shared" si="19"/>
        <v>86.212499999999991</v>
      </c>
      <c r="AF24" s="1">
        <v>1640.3</v>
      </c>
      <c r="AG24" s="1">
        <f t="shared" si="20"/>
        <v>410.07499999999999</v>
      </c>
      <c r="AH24" s="1">
        <f t="shared" si="21"/>
        <v>4100.75</v>
      </c>
      <c r="AI24" s="1">
        <v>2901.96</v>
      </c>
      <c r="AJ24" s="1">
        <f t="shared" si="22"/>
        <v>725.49</v>
      </c>
      <c r="AK24" s="5">
        <f t="shared" si="23"/>
        <v>13058.82</v>
      </c>
      <c r="AL24" s="6">
        <f t="shared" si="24"/>
        <v>8650.31</v>
      </c>
      <c r="AM24" s="6">
        <f t="shared" si="24"/>
        <v>5342869.7525000004</v>
      </c>
      <c r="AN24" s="6">
        <f t="shared" si="25"/>
        <v>617.65066829974887</v>
      </c>
      <c r="AO24" s="6">
        <f t="shared" si="26"/>
        <v>0.61765066829974891</v>
      </c>
      <c r="AP24" s="6">
        <v>0.30201432383225152</v>
      </c>
    </row>
    <row r="25" spans="1:42" ht="14" x14ac:dyDescent="0.15">
      <c r="A25" s="1" t="s">
        <v>22</v>
      </c>
      <c r="B25" s="1">
        <v>3912.46</v>
      </c>
      <c r="C25" s="1">
        <f t="shared" si="0"/>
        <v>978.11500000000001</v>
      </c>
      <c r="D25" s="1">
        <f t="shared" si="1"/>
        <v>271915.97000000003</v>
      </c>
      <c r="E25" s="1">
        <v>9247.2099999999991</v>
      </c>
      <c r="F25" s="1">
        <f t="shared" si="2"/>
        <v>2311.8024999999998</v>
      </c>
      <c r="G25" s="1">
        <f t="shared" si="3"/>
        <v>2603089.6149999998</v>
      </c>
      <c r="H25" s="1">
        <v>9443.8799999999992</v>
      </c>
      <c r="I25" s="1">
        <f t="shared" si="4"/>
        <v>2360.9699999999998</v>
      </c>
      <c r="J25" s="1">
        <f t="shared" si="5"/>
        <v>1031743.8899999999</v>
      </c>
      <c r="K25" s="1">
        <v>5753.81</v>
      </c>
      <c r="L25" s="1">
        <f t="shared" si="6"/>
        <v>1438.4525000000001</v>
      </c>
      <c r="M25" s="1">
        <f t="shared" si="7"/>
        <v>1356460.7075</v>
      </c>
      <c r="N25" s="1">
        <v>342.17</v>
      </c>
      <c r="O25" s="1">
        <f t="shared" si="8"/>
        <v>85.542500000000004</v>
      </c>
      <c r="P25" s="1">
        <f t="shared" si="9"/>
        <v>79468.982499999998</v>
      </c>
      <c r="Q25" s="1">
        <v>34.81</v>
      </c>
      <c r="R25" s="1">
        <f t="shared" si="10"/>
        <v>8.7025000000000006</v>
      </c>
      <c r="S25" s="1">
        <f t="shared" si="11"/>
        <v>1409.8050000000001</v>
      </c>
      <c r="T25" s="1">
        <v>339.79</v>
      </c>
      <c r="U25" s="1">
        <f t="shared" si="12"/>
        <v>84.947500000000005</v>
      </c>
      <c r="V25" s="1">
        <f t="shared" si="13"/>
        <v>2123.6875</v>
      </c>
      <c r="W25" s="1">
        <v>1078.1400000000001</v>
      </c>
      <c r="X25" s="1">
        <f t="shared" si="14"/>
        <v>269.53500000000003</v>
      </c>
      <c r="Y25" s="1">
        <f t="shared" si="15"/>
        <v>808.60500000000002</v>
      </c>
      <c r="Z25" s="1">
        <v>273.86</v>
      </c>
      <c r="AA25" s="1">
        <f t="shared" si="16"/>
        <v>68.465000000000003</v>
      </c>
      <c r="AB25" s="1">
        <f t="shared" si="17"/>
        <v>205.39500000000001</v>
      </c>
      <c r="AC25" s="1">
        <v>5.98</v>
      </c>
      <c r="AD25" s="1">
        <f t="shared" si="18"/>
        <v>1.4950000000000001</v>
      </c>
      <c r="AE25" s="1">
        <f t="shared" si="19"/>
        <v>85.215000000000003</v>
      </c>
      <c r="AF25" s="1">
        <v>1730.57</v>
      </c>
      <c r="AG25" s="1">
        <f t="shared" si="20"/>
        <v>432.64249999999998</v>
      </c>
      <c r="AH25" s="1">
        <f t="shared" si="21"/>
        <v>4326.4250000000002</v>
      </c>
      <c r="AI25" s="1">
        <v>2876.66</v>
      </c>
      <c r="AJ25" s="1">
        <f t="shared" si="22"/>
        <v>719.16499999999996</v>
      </c>
      <c r="AK25" s="5">
        <f t="shared" si="23"/>
        <v>12944.97</v>
      </c>
      <c r="AL25" s="6">
        <f t="shared" si="24"/>
        <v>8759.8349999999991</v>
      </c>
      <c r="AM25" s="6">
        <f t="shared" si="24"/>
        <v>5364583.2674999982</v>
      </c>
      <c r="AN25" s="6">
        <f t="shared" si="25"/>
        <v>612.40688523242716</v>
      </c>
      <c r="AO25" s="6">
        <f t="shared" si="26"/>
        <v>0.61240688523242715</v>
      </c>
      <c r="AP25" s="6">
        <v>0.37287929444375773</v>
      </c>
    </row>
    <row r="26" spans="1:42" ht="14" x14ac:dyDescent="0.15">
      <c r="A26" s="1" t="s">
        <v>23</v>
      </c>
      <c r="B26" s="1">
        <v>3939.45</v>
      </c>
      <c r="C26" s="1">
        <f t="shared" si="0"/>
        <v>984.86249999999995</v>
      </c>
      <c r="D26" s="1">
        <f t="shared" si="1"/>
        <v>273791.77499999997</v>
      </c>
      <c r="E26" s="1">
        <v>9235.0300000000007</v>
      </c>
      <c r="F26" s="1">
        <f t="shared" si="2"/>
        <v>2308.7575000000002</v>
      </c>
      <c r="G26" s="1">
        <f t="shared" si="3"/>
        <v>2599660.9450000003</v>
      </c>
      <c r="H26" s="1">
        <v>9465.07</v>
      </c>
      <c r="I26" s="1">
        <f t="shared" si="4"/>
        <v>2366.2674999999999</v>
      </c>
      <c r="J26" s="1">
        <f t="shared" si="5"/>
        <v>1034058.8975</v>
      </c>
      <c r="K26" s="1">
        <v>5761.89</v>
      </c>
      <c r="L26" s="1">
        <f t="shared" si="6"/>
        <v>1440.4725000000001</v>
      </c>
      <c r="M26" s="1">
        <f t="shared" si="7"/>
        <v>1358365.5675000001</v>
      </c>
      <c r="N26" s="1">
        <v>342.17</v>
      </c>
      <c r="O26" s="1">
        <f t="shared" si="8"/>
        <v>85.542500000000004</v>
      </c>
      <c r="P26" s="1">
        <f t="shared" si="9"/>
        <v>79468.982499999998</v>
      </c>
      <c r="Q26" s="1">
        <v>34.56</v>
      </c>
      <c r="R26" s="1">
        <f t="shared" si="10"/>
        <v>8.64</v>
      </c>
      <c r="S26" s="1">
        <f t="shared" si="11"/>
        <v>1399.68</v>
      </c>
      <c r="T26" s="1">
        <v>425.71</v>
      </c>
      <c r="U26" s="1">
        <f t="shared" si="12"/>
        <v>106.42749999999999</v>
      </c>
      <c r="V26" s="1">
        <f t="shared" si="13"/>
        <v>2660.6875</v>
      </c>
      <c r="W26" s="1">
        <v>1081.47</v>
      </c>
      <c r="X26" s="1">
        <f t="shared" si="14"/>
        <v>270.36750000000001</v>
      </c>
      <c r="Y26" s="1">
        <f t="shared" si="15"/>
        <v>811.10249999999996</v>
      </c>
      <c r="Z26" s="1">
        <v>309.49</v>
      </c>
      <c r="AA26" s="1">
        <f t="shared" si="16"/>
        <v>77.372500000000002</v>
      </c>
      <c r="AB26" s="1">
        <f t="shared" si="17"/>
        <v>232.11750000000001</v>
      </c>
      <c r="AC26" s="1">
        <v>6.05</v>
      </c>
      <c r="AD26" s="1">
        <f t="shared" si="18"/>
        <v>1.5125</v>
      </c>
      <c r="AE26" s="1">
        <f t="shared" si="19"/>
        <v>86.212499999999991</v>
      </c>
      <c r="AF26" s="1">
        <v>1772.05</v>
      </c>
      <c r="AG26" s="1">
        <f t="shared" si="20"/>
        <v>443.01249999999999</v>
      </c>
      <c r="AH26" s="1">
        <f t="shared" si="21"/>
        <v>4430.125</v>
      </c>
      <c r="AI26" s="1">
        <v>2842.74</v>
      </c>
      <c r="AJ26" s="1">
        <f t="shared" si="22"/>
        <v>710.68499999999995</v>
      </c>
      <c r="AK26" s="5">
        <f t="shared" si="23"/>
        <v>12792.329999999998</v>
      </c>
      <c r="AL26" s="6">
        <f t="shared" si="24"/>
        <v>8803.92</v>
      </c>
      <c r="AM26" s="6">
        <f t="shared" si="24"/>
        <v>5367758.4225000003</v>
      </c>
      <c r="AN26" s="6">
        <f t="shared" si="25"/>
        <v>609.70095395005865</v>
      </c>
      <c r="AO26" s="6">
        <f t="shared" si="26"/>
        <v>0.60970095395005863</v>
      </c>
      <c r="AP26" s="6">
        <v>0.40755894933535597</v>
      </c>
    </row>
    <row r="27" spans="1:42" ht="14" x14ac:dyDescent="0.15">
      <c r="A27" s="1" t="s">
        <v>24</v>
      </c>
      <c r="B27" s="1">
        <v>4030.91</v>
      </c>
      <c r="C27" s="1">
        <f t="shared" si="0"/>
        <v>1007.7275</v>
      </c>
      <c r="D27" s="1">
        <f t="shared" si="1"/>
        <v>280148.245</v>
      </c>
      <c r="E27" s="1">
        <v>9241.98</v>
      </c>
      <c r="F27" s="1">
        <f t="shared" si="2"/>
        <v>2310.4949999999999</v>
      </c>
      <c r="G27" s="1">
        <f t="shared" si="3"/>
        <v>2601617.3699999996</v>
      </c>
      <c r="H27" s="1">
        <v>9508.2900000000009</v>
      </c>
      <c r="I27" s="1">
        <f t="shared" si="4"/>
        <v>2377.0725000000002</v>
      </c>
      <c r="J27" s="1">
        <f t="shared" si="5"/>
        <v>1038780.6825000001</v>
      </c>
      <c r="K27" s="1">
        <v>5833.76</v>
      </c>
      <c r="L27" s="1">
        <f t="shared" si="6"/>
        <v>1458.44</v>
      </c>
      <c r="M27" s="1">
        <f t="shared" si="7"/>
        <v>1375308.9200000002</v>
      </c>
      <c r="N27" s="1">
        <v>342.17</v>
      </c>
      <c r="O27" s="1">
        <f t="shared" si="8"/>
        <v>85.542500000000004</v>
      </c>
      <c r="P27" s="1">
        <f t="shared" si="9"/>
        <v>79468.982499999998</v>
      </c>
      <c r="Q27" s="1">
        <v>33.85</v>
      </c>
      <c r="R27" s="1">
        <f t="shared" si="10"/>
        <v>8.4625000000000004</v>
      </c>
      <c r="S27" s="1">
        <f t="shared" si="11"/>
        <v>1370.925</v>
      </c>
      <c r="T27" s="1">
        <v>294.33</v>
      </c>
      <c r="U27" s="1">
        <f t="shared" si="12"/>
        <v>73.582499999999996</v>
      </c>
      <c r="V27" s="1">
        <f t="shared" si="13"/>
        <v>1839.5625</v>
      </c>
      <c r="W27" s="1">
        <v>1116.57</v>
      </c>
      <c r="X27" s="1">
        <f t="shared" si="14"/>
        <v>279.14249999999998</v>
      </c>
      <c r="Y27" s="1">
        <f t="shared" si="15"/>
        <v>837.42750000000001</v>
      </c>
      <c r="Z27" s="1">
        <v>118.65</v>
      </c>
      <c r="AA27" s="1">
        <f t="shared" si="16"/>
        <v>29.662500000000001</v>
      </c>
      <c r="AB27" s="1">
        <f t="shared" si="17"/>
        <v>88.987500000000011</v>
      </c>
      <c r="AC27" s="1">
        <v>5.95</v>
      </c>
      <c r="AD27" s="1">
        <f t="shared" si="18"/>
        <v>1.4875</v>
      </c>
      <c r="AE27" s="1">
        <f t="shared" si="19"/>
        <v>84.787500000000009</v>
      </c>
      <c r="AF27" s="1">
        <v>1755.68</v>
      </c>
      <c r="AG27" s="1">
        <f t="shared" si="20"/>
        <v>438.92</v>
      </c>
      <c r="AH27" s="1">
        <f t="shared" si="21"/>
        <v>4389.2</v>
      </c>
      <c r="AI27" s="1">
        <v>2821</v>
      </c>
      <c r="AJ27" s="1">
        <f t="shared" si="22"/>
        <v>705.25</v>
      </c>
      <c r="AK27" s="5">
        <f t="shared" si="23"/>
        <v>12694.5</v>
      </c>
      <c r="AL27" s="6">
        <f t="shared" si="24"/>
        <v>8775.7849999999999</v>
      </c>
      <c r="AM27" s="6">
        <f t="shared" si="24"/>
        <v>5396629.5899999999</v>
      </c>
      <c r="AN27" s="6">
        <f t="shared" si="25"/>
        <v>614.94551085743331</v>
      </c>
      <c r="AO27" s="6">
        <f t="shared" si="26"/>
        <v>0.61494551085743332</v>
      </c>
      <c r="AP27" s="6">
        <v>0.40337055900644497</v>
      </c>
    </row>
    <row r="28" spans="1:42" ht="14" x14ac:dyDescent="0.15">
      <c r="A28" s="1" t="s">
        <v>25</v>
      </c>
      <c r="B28" s="1">
        <v>4068.78</v>
      </c>
      <c r="C28" s="1">
        <f t="shared" si="0"/>
        <v>1017.1950000000001</v>
      </c>
      <c r="D28" s="1">
        <f t="shared" si="1"/>
        <v>282780.21000000002</v>
      </c>
      <c r="E28" s="1">
        <v>9274.4699999999993</v>
      </c>
      <c r="F28" s="1">
        <f t="shared" si="2"/>
        <v>2318.6174999999998</v>
      </c>
      <c r="G28" s="1">
        <f t="shared" si="3"/>
        <v>2610763.3049999997</v>
      </c>
      <c r="H28" s="1">
        <v>9679.4699999999993</v>
      </c>
      <c r="I28" s="1">
        <f t="shared" si="4"/>
        <v>2419.8674999999998</v>
      </c>
      <c r="J28" s="1">
        <f t="shared" si="5"/>
        <v>1057482.0974999999</v>
      </c>
      <c r="K28" s="1">
        <v>5976.66</v>
      </c>
      <c r="L28" s="1">
        <f t="shared" si="6"/>
        <v>1494.165</v>
      </c>
      <c r="M28" s="1">
        <f t="shared" si="7"/>
        <v>1408997.595</v>
      </c>
      <c r="N28" s="1">
        <v>346.8</v>
      </c>
      <c r="O28" s="1">
        <f t="shared" si="8"/>
        <v>86.7</v>
      </c>
      <c r="P28" s="1">
        <f t="shared" si="9"/>
        <v>80544.3</v>
      </c>
      <c r="Q28" s="1">
        <v>33.869999999999997</v>
      </c>
      <c r="R28" s="1">
        <f t="shared" si="10"/>
        <v>8.4674999999999994</v>
      </c>
      <c r="S28" s="1">
        <f t="shared" si="11"/>
        <v>1371.7349999999999</v>
      </c>
      <c r="T28" s="1">
        <v>618.67999999999995</v>
      </c>
      <c r="U28" s="1">
        <f t="shared" si="12"/>
        <v>154.66999999999999</v>
      </c>
      <c r="V28" s="1">
        <f t="shared" si="13"/>
        <v>3866.7499999999995</v>
      </c>
      <c r="W28" s="1">
        <v>1115.4100000000001</v>
      </c>
      <c r="X28" s="1">
        <f t="shared" si="14"/>
        <v>278.85250000000002</v>
      </c>
      <c r="Y28" s="1">
        <f t="shared" si="15"/>
        <v>836.55750000000012</v>
      </c>
      <c r="Z28" s="1">
        <v>213.33</v>
      </c>
      <c r="AA28" s="1">
        <f t="shared" si="16"/>
        <v>53.332500000000003</v>
      </c>
      <c r="AB28" s="1">
        <f t="shared" si="17"/>
        <v>159.9975</v>
      </c>
      <c r="AC28" s="1">
        <v>6.86</v>
      </c>
      <c r="AD28" s="1">
        <f t="shared" si="18"/>
        <v>1.7150000000000001</v>
      </c>
      <c r="AE28" s="1">
        <f t="shared" si="19"/>
        <v>97.75500000000001</v>
      </c>
      <c r="AF28" s="1">
        <v>1762.99</v>
      </c>
      <c r="AG28" s="1">
        <f t="shared" si="20"/>
        <v>440.7475</v>
      </c>
      <c r="AH28" s="1">
        <f t="shared" si="21"/>
        <v>4407.4750000000004</v>
      </c>
      <c r="AI28" s="1">
        <v>2807.42</v>
      </c>
      <c r="AJ28" s="1">
        <f t="shared" si="22"/>
        <v>701.85500000000002</v>
      </c>
      <c r="AK28" s="5">
        <f t="shared" si="23"/>
        <v>12633.39</v>
      </c>
      <c r="AL28" s="6">
        <f t="shared" si="24"/>
        <v>8976.1849999999995</v>
      </c>
      <c r="AM28" s="6">
        <f t="shared" si="24"/>
        <v>5463941.1674999986</v>
      </c>
      <c r="AN28" s="6">
        <f t="shared" si="25"/>
        <v>608.71530249209422</v>
      </c>
      <c r="AO28" s="6">
        <f t="shared" si="26"/>
        <v>0.60871530249209427</v>
      </c>
      <c r="AP28" s="6">
        <v>0.41112915794811183</v>
      </c>
    </row>
    <row r="29" spans="1:42" ht="14" x14ac:dyDescent="0.15">
      <c r="A29" s="1" t="s">
        <v>26</v>
      </c>
      <c r="B29" s="1">
        <v>4144.41</v>
      </c>
      <c r="C29" s="1">
        <f t="shared" si="0"/>
        <v>1036.1025</v>
      </c>
      <c r="D29" s="1">
        <f t="shared" si="1"/>
        <v>288036.495</v>
      </c>
      <c r="E29" s="1">
        <v>9283.99</v>
      </c>
      <c r="F29" s="1">
        <f t="shared" si="2"/>
        <v>2320.9974999999999</v>
      </c>
      <c r="G29" s="1">
        <f t="shared" si="3"/>
        <v>2613443.1850000001</v>
      </c>
      <c r="H29" s="1">
        <v>9730.42</v>
      </c>
      <c r="I29" s="1">
        <f t="shared" si="4"/>
        <v>2432.605</v>
      </c>
      <c r="J29" s="1">
        <f t="shared" si="5"/>
        <v>1063048.385</v>
      </c>
      <c r="K29" s="1">
        <v>6055.3</v>
      </c>
      <c r="L29" s="1">
        <f t="shared" si="6"/>
        <v>1513.825</v>
      </c>
      <c r="M29" s="1">
        <f t="shared" si="7"/>
        <v>1427536.9750000001</v>
      </c>
      <c r="N29" s="1">
        <v>381.04</v>
      </c>
      <c r="O29" s="1">
        <f t="shared" si="8"/>
        <v>95.26</v>
      </c>
      <c r="P29" s="1">
        <f t="shared" si="9"/>
        <v>88496.540000000008</v>
      </c>
      <c r="Q29" s="1">
        <v>33.6</v>
      </c>
      <c r="R29" s="1">
        <f t="shared" si="10"/>
        <v>8.4</v>
      </c>
      <c r="S29" s="1">
        <f t="shared" si="11"/>
        <v>1360.8</v>
      </c>
      <c r="T29" s="1">
        <v>1580.56</v>
      </c>
      <c r="U29" s="1">
        <f t="shared" si="12"/>
        <v>395.14</v>
      </c>
      <c r="V29" s="1">
        <f t="shared" si="13"/>
        <v>9878.5</v>
      </c>
      <c r="W29" s="1">
        <v>1121.75</v>
      </c>
      <c r="X29" s="1">
        <f t="shared" si="14"/>
        <v>280.4375</v>
      </c>
      <c r="Y29" s="1">
        <f t="shared" si="15"/>
        <v>841.3125</v>
      </c>
      <c r="Z29" s="1">
        <v>273.86</v>
      </c>
      <c r="AA29" s="1">
        <f t="shared" si="16"/>
        <v>68.465000000000003</v>
      </c>
      <c r="AB29" s="1">
        <f t="shared" si="17"/>
        <v>205.39500000000001</v>
      </c>
      <c r="AC29" s="1">
        <v>10.83</v>
      </c>
      <c r="AD29" s="1">
        <f t="shared" si="18"/>
        <v>2.7075</v>
      </c>
      <c r="AE29" s="1">
        <f t="shared" si="19"/>
        <v>154.32750000000001</v>
      </c>
      <c r="AF29" s="1">
        <v>1745.19</v>
      </c>
      <c r="AG29" s="1">
        <f t="shared" si="20"/>
        <v>436.29750000000001</v>
      </c>
      <c r="AH29" s="1">
        <f t="shared" si="21"/>
        <v>4362.9750000000004</v>
      </c>
      <c r="AI29" s="1">
        <v>2761.51</v>
      </c>
      <c r="AJ29" s="1">
        <f t="shared" si="22"/>
        <v>690.37750000000005</v>
      </c>
      <c r="AK29" s="5">
        <f t="shared" si="23"/>
        <v>12426.795000000002</v>
      </c>
      <c r="AL29" s="6">
        <f t="shared" si="24"/>
        <v>9280.6150000000016</v>
      </c>
      <c r="AM29" s="6">
        <f t="shared" si="24"/>
        <v>5509791.6849999996</v>
      </c>
      <c r="AN29" s="6">
        <f t="shared" si="25"/>
        <v>593.68820762417135</v>
      </c>
      <c r="AO29" s="6">
        <f t="shared" si="26"/>
        <v>0.5936882076241714</v>
      </c>
      <c r="AP29" s="6">
        <v>0.42900047128355512</v>
      </c>
    </row>
    <row r="30" spans="1:42" ht="14" x14ac:dyDescent="0.15">
      <c r="A30" s="1" t="s">
        <v>27</v>
      </c>
      <c r="B30" s="1">
        <v>4185.87</v>
      </c>
      <c r="C30" s="1">
        <f t="shared" si="0"/>
        <v>1046.4675</v>
      </c>
      <c r="D30" s="1">
        <f t="shared" si="1"/>
        <v>290917.96499999997</v>
      </c>
      <c r="E30" s="1">
        <v>9269.84</v>
      </c>
      <c r="F30" s="1">
        <f t="shared" si="2"/>
        <v>2317.46</v>
      </c>
      <c r="G30" s="1">
        <f t="shared" si="3"/>
        <v>2609459.96</v>
      </c>
      <c r="H30" s="1">
        <v>9818.36</v>
      </c>
      <c r="I30" s="1">
        <f t="shared" si="4"/>
        <v>2454.59</v>
      </c>
      <c r="J30" s="1">
        <f t="shared" si="5"/>
        <v>1072655.83</v>
      </c>
      <c r="K30" s="1">
        <v>6086.52</v>
      </c>
      <c r="L30" s="1">
        <f t="shared" si="6"/>
        <v>1521.63</v>
      </c>
      <c r="M30" s="1">
        <f t="shared" si="7"/>
        <v>1434897.09</v>
      </c>
      <c r="N30" s="1">
        <v>449.61</v>
      </c>
      <c r="O30" s="1">
        <f t="shared" si="8"/>
        <v>112.4025</v>
      </c>
      <c r="P30" s="1">
        <f t="shared" si="9"/>
        <v>104421.9225</v>
      </c>
      <c r="Q30" s="1">
        <v>33.58</v>
      </c>
      <c r="R30" s="1">
        <f t="shared" si="10"/>
        <v>8.3949999999999996</v>
      </c>
      <c r="S30" s="1">
        <f t="shared" si="11"/>
        <v>1359.99</v>
      </c>
      <c r="T30" s="1">
        <v>2466.84</v>
      </c>
      <c r="U30" s="1">
        <f t="shared" si="12"/>
        <v>616.71</v>
      </c>
      <c r="V30" s="1">
        <f t="shared" si="13"/>
        <v>15417.75</v>
      </c>
      <c r="W30" s="1">
        <v>1129.9100000000001</v>
      </c>
      <c r="X30" s="1">
        <f t="shared" si="14"/>
        <v>282.47750000000002</v>
      </c>
      <c r="Y30" s="1">
        <f t="shared" si="15"/>
        <v>847.43250000000012</v>
      </c>
      <c r="Z30" s="1">
        <v>280.06</v>
      </c>
      <c r="AA30" s="1">
        <f t="shared" si="16"/>
        <v>70.015000000000001</v>
      </c>
      <c r="AB30" s="1">
        <f t="shared" si="17"/>
        <v>210.04500000000002</v>
      </c>
      <c r="AC30" s="1">
        <v>16.53</v>
      </c>
      <c r="AD30" s="1">
        <f t="shared" si="18"/>
        <v>4.1325000000000003</v>
      </c>
      <c r="AE30" s="1">
        <f t="shared" si="19"/>
        <v>235.55250000000001</v>
      </c>
      <c r="AF30" s="1">
        <v>1809.25</v>
      </c>
      <c r="AG30" s="1">
        <f t="shared" si="20"/>
        <v>452.3125</v>
      </c>
      <c r="AH30" s="1">
        <f t="shared" si="21"/>
        <v>4523.125</v>
      </c>
      <c r="AI30" s="1">
        <v>2723.05</v>
      </c>
      <c r="AJ30" s="1">
        <f t="shared" si="22"/>
        <v>680.76250000000005</v>
      </c>
      <c r="AK30" s="5">
        <f t="shared" si="23"/>
        <v>12253.725</v>
      </c>
      <c r="AL30" s="6">
        <f t="shared" si="24"/>
        <v>9567.3550000000014</v>
      </c>
      <c r="AM30" s="6">
        <f t="shared" si="24"/>
        <v>5547200.3875000002</v>
      </c>
      <c r="AN30" s="6">
        <f t="shared" si="25"/>
        <v>579.80501272295214</v>
      </c>
      <c r="AO30" s="6">
        <f t="shared" si="26"/>
        <v>0.57980501272295215</v>
      </c>
      <c r="AP30" s="6">
        <v>0.44545257242395797</v>
      </c>
    </row>
    <row r="31" spans="1:42" ht="14" x14ac:dyDescent="0.15">
      <c r="A31" s="1" t="s">
        <v>28</v>
      </c>
      <c r="B31" s="1">
        <v>4322.37</v>
      </c>
      <c r="C31" s="1">
        <f t="shared" si="0"/>
        <v>1080.5925</v>
      </c>
      <c r="D31" s="1">
        <f t="shared" si="1"/>
        <v>300404.71499999997</v>
      </c>
      <c r="E31" s="1">
        <v>9268.93</v>
      </c>
      <c r="F31" s="1">
        <f t="shared" si="2"/>
        <v>2317.2325000000001</v>
      </c>
      <c r="G31" s="1">
        <f t="shared" si="3"/>
        <v>2609203.7949999999</v>
      </c>
      <c r="H31" s="1">
        <v>10083.4</v>
      </c>
      <c r="I31" s="1">
        <f t="shared" si="4"/>
        <v>2520.85</v>
      </c>
      <c r="J31" s="1">
        <f t="shared" si="5"/>
        <v>1101611.45</v>
      </c>
      <c r="K31" s="1">
        <v>6111.75</v>
      </c>
      <c r="L31" s="1">
        <f t="shared" si="6"/>
        <v>1527.9375</v>
      </c>
      <c r="M31" s="1">
        <f t="shared" si="7"/>
        <v>1440845.0625</v>
      </c>
      <c r="N31" s="1">
        <v>480.73</v>
      </c>
      <c r="O31" s="1">
        <f t="shared" si="8"/>
        <v>120.1825</v>
      </c>
      <c r="P31" s="1">
        <f t="shared" si="9"/>
        <v>111649.54250000001</v>
      </c>
      <c r="Q31" s="1">
        <v>33.409999999999997</v>
      </c>
      <c r="R31" s="1">
        <f t="shared" si="10"/>
        <v>8.3524999999999991</v>
      </c>
      <c r="S31" s="1">
        <f t="shared" si="11"/>
        <v>1353.1049999999998</v>
      </c>
      <c r="T31" s="1">
        <v>3112.26</v>
      </c>
      <c r="U31" s="1">
        <f t="shared" si="12"/>
        <v>778.06500000000005</v>
      </c>
      <c r="V31" s="1">
        <f t="shared" si="13"/>
        <v>19451.625</v>
      </c>
      <c r="W31" s="1">
        <v>1248.6099999999999</v>
      </c>
      <c r="X31" s="1">
        <f t="shared" si="14"/>
        <v>312.15249999999997</v>
      </c>
      <c r="Y31" s="1">
        <f t="shared" si="15"/>
        <v>936.45749999999998</v>
      </c>
      <c r="Z31" s="1">
        <v>151.75</v>
      </c>
      <c r="AA31" s="1">
        <f t="shared" si="16"/>
        <v>37.9375</v>
      </c>
      <c r="AB31" s="1">
        <f t="shared" si="17"/>
        <v>113.8125</v>
      </c>
      <c r="AC31" s="1">
        <v>12.84</v>
      </c>
      <c r="AD31" s="1">
        <f t="shared" si="18"/>
        <v>3.21</v>
      </c>
      <c r="AE31" s="1">
        <f t="shared" si="19"/>
        <v>182.97</v>
      </c>
      <c r="AF31" s="1">
        <v>1796.42</v>
      </c>
      <c r="AG31" s="1">
        <f t="shared" si="20"/>
        <v>449.10500000000002</v>
      </c>
      <c r="AH31" s="1">
        <f t="shared" si="21"/>
        <v>4491.05</v>
      </c>
      <c r="AI31" s="1">
        <v>2753.96</v>
      </c>
      <c r="AJ31" s="1">
        <f t="shared" si="22"/>
        <v>688.49</v>
      </c>
      <c r="AK31" s="5">
        <f t="shared" si="23"/>
        <v>12392.82</v>
      </c>
      <c r="AL31" s="6">
        <f t="shared" si="24"/>
        <v>9844.1074999999983</v>
      </c>
      <c r="AM31" s="6">
        <f t="shared" si="24"/>
        <v>5602636.4050000003</v>
      </c>
      <c r="AN31" s="6">
        <f t="shared" si="25"/>
        <v>569.13604458301586</v>
      </c>
      <c r="AO31" s="6">
        <f t="shared" si="26"/>
        <v>0.56913604458301581</v>
      </c>
    </row>
    <row r="32" spans="1:42" ht="14" x14ac:dyDescent="0.15">
      <c r="A32" s="1" t="s">
        <v>29</v>
      </c>
      <c r="B32" s="1">
        <v>4402.7</v>
      </c>
      <c r="C32" s="1">
        <f t="shared" si="0"/>
        <v>1100.675</v>
      </c>
      <c r="D32" s="1">
        <f t="shared" si="1"/>
        <v>305987.64999999997</v>
      </c>
      <c r="E32" s="1">
        <v>9260.84</v>
      </c>
      <c r="F32" s="1">
        <f t="shared" si="2"/>
        <v>2315.21</v>
      </c>
      <c r="G32" s="1">
        <f t="shared" si="3"/>
        <v>2606926.46</v>
      </c>
      <c r="H32" s="1">
        <v>10178.030000000001</v>
      </c>
      <c r="I32" s="1">
        <f t="shared" si="4"/>
        <v>2544.5075000000002</v>
      </c>
      <c r="J32" s="1">
        <f t="shared" si="5"/>
        <v>1111949.7775000001</v>
      </c>
      <c r="K32" s="1">
        <v>6100.17</v>
      </c>
      <c r="L32" s="1">
        <f t="shared" si="6"/>
        <v>1525.0425</v>
      </c>
      <c r="M32" s="1">
        <f t="shared" si="7"/>
        <v>1438115.0775000001</v>
      </c>
      <c r="N32" s="1">
        <v>527.80999999999995</v>
      </c>
      <c r="O32" s="1">
        <f t="shared" si="8"/>
        <v>131.95249999999999</v>
      </c>
      <c r="P32" s="1">
        <f t="shared" si="9"/>
        <v>122583.87249999998</v>
      </c>
      <c r="Q32" s="1">
        <v>33.17</v>
      </c>
      <c r="R32" s="1">
        <f t="shared" si="10"/>
        <v>8.2925000000000004</v>
      </c>
      <c r="S32" s="1">
        <f t="shared" si="11"/>
        <v>1343.385</v>
      </c>
      <c r="T32" s="1">
        <v>4595.17</v>
      </c>
      <c r="U32" s="1">
        <f t="shared" si="12"/>
        <v>1148.7925</v>
      </c>
      <c r="V32" s="1">
        <f t="shared" si="13"/>
        <v>28719.8125</v>
      </c>
      <c r="W32" s="1">
        <v>1265.45</v>
      </c>
      <c r="X32" s="1">
        <f t="shared" si="14"/>
        <v>316.36250000000001</v>
      </c>
      <c r="Y32" s="1">
        <f t="shared" si="15"/>
        <v>949.08750000000009</v>
      </c>
      <c r="Z32" s="1">
        <v>279.55</v>
      </c>
      <c r="AA32" s="1">
        <f t="shared" si="16"/>
        <v>69.887500000000003</v>
      </c>
      <c r="AB32" s="1">
        <f t="shared" si="17"/>
        <v>209.66250000000002</v>
      </c>
      <c r="AC32" s="1">
        <v>21.24</v>
      </c>
      <c r="AD32" s="1">
        <f t="shared" si="18"/>
        <v>5.31</v>
      </c>
      <c r="AE32" s="1">
        <f t="shared" si="19"/>
        <v>302.66999999999996</v>
      </c>
      <c r="AF32" s="1">
        <v>1802.99</v>
      </c>
      <c r="AG32" s="1">
        <f t="shared" si="20"/>
        <v>450.7475</v>
      </c>
      <c r="AH32" s="1">
        <f t="shared" si="21"/>
        <v>4507.4750000000004</v>
      </c>
      <c r="AI32" s="1">
        <v>2711.08</v>
      </c>
      <c r="AJ32" s="1">
        <f t="shared" si="22"/>
        <v>677.77</v>
      </c>
      <c r="AK32" s="5">
        <f t="shared" si="23"/>
        <v>12199.86</v>
      </c>
      <c r="AL32" s="6">
        <f t="shared" si="24"/>
        <v>10294.549999999999</v>
      </c>
      <c r="AM32" s="6">
        <f t="shared" si="24"/>
        <v>5633794.7899999991</v>
      </c>
      <c r="AN32" s="6">
        <f t="shared" si="25"/>
        <v>547.25993753976616</v>
      </c>
      <c r="AO32" s="6">
        <f t="shared" si="26"/>
        <v>0.54725993753976621</v>
      </c>
    </row>
    <row r="33" spans="1:41" ht="14" x14ac:dyDescent="0.15">
      <c r="A33" s="1" t="s">
        <v>30</v>
      </c>
      <c r="B33" s="1">
        <v>4445.2299999999996</v>
      </c>
      <c r="C33" s="1">
        <f t="shared" si="0"/>
        <v>1111.3074999999999</v>
      </c>
      <c r="D33" s="1">
        <f t="shared" si="1"/>
        <v>308943.48499999999</v>
      </c>
      <c r="E33" s="1">
        <v>9245.74</v>
      </c>
      <c r="F33" s="1">
        <f t="shared" si="2"/>
        <v>2311.4349999999999</v>
      </c>
      <c r="G33" s="1">
        <f t="shared" si="3"/>
        <v>2602675.81</v>
      </c>
      <c r="H33" s="1">
        <v>10285.86</v>
      </c>
      <c r="I33" s="1">
        <f t="shared" si="4"/>
        <v>2571.4650000000001</v>
      </c>
      <c r="J33" s="1">
        <f t="shared" si="5"/>
        <v>1123730.2050000001</v>
      </c>
      <c r="K33" s="1">
        <v>6120.77</v>
      </c>
      <c r="L33" s="1">
        <f t="shared" si="6"/>
        <v>1530.1925000000001</v>
      </c>
      <c r="M33" s="1">
        <f t="shared" si="7"/>
        <v>1442971.5275000001</v>
      </c>
      <c r="N33" s="1">
        <v>531.52</v>
      </c>
      <c r="O33" s="1">
        <f t="shared" si="8"/>
        <v>132.88</v>
      </c>
      <c r="P33" s="1">
        <f t="shared" si="9"/>
        <v>123445.51999999999</v>
      </c>
      <c r="Q33" s="1">
        <v>33.22</v>
      </c>
      <c r="R33" s="1">
        <f t="shared" si="10"/>
        <v>8.3049999999999997</v>
      </c>
      <c r="S33" s="1">
        <f t="shared" si="11"/>
        <v>1345.4099999999999</v>
      </c>
      <c r="T33" s="1">
        <v>5311.77</v>
      </c>
      <c r="U33" s="1">
        <f t="shared" si="12"/>
        <v>1327.9425000000001</v>
      </c>
      <c r="V33" s="1">
        <f t="shared" si="13"/>
        <v>33198.5625</v>
      </c>
      <c r="W33" s="1">
        <v>1272.26</v>
      </c>
      <c r="X33" s="1">
        <f t="shared" si="14"/>
        <v>318.065</v>
      </c>
      <c r="Y33" s="1">
        <f t="shared" si="15"/>
        <v>954.19499999999994</v>
      </c>
      <c r="Z33" s="1">
        <v>347.13</v>
      </c>
      <c r="AA33" s="1">
        <f t="shared" si="16"/>
        <v>86.782499999999999</v>
      </c>
      <c r="AB33" s="1">
        <f t="shared" si="17"/>
        <v>260.34749999999997</v>
      </c>
      <c r="AC33" s="1">
        <v>110.14</v>
      </c>
      <c r="AD33" s="1">
        <f t="shared" si="18"/>
        <v>27.535</v>
      </c>
      <c r="AE33" s="1">
        <f t="shared" si="19"/>
        <v>1569.4950000000001</v>
      </c>
      <c r="AF33" s="1">
        <v>1638.29</v>
      </c>
      <c r="AG33" s="1">
        <f t="shared" si="20"/>
        <v>409.57249999999999</v>
      </c>
      <c r="AH33" s="1">
        <f t="shared" si="21"/>
        <v>4095.7249999999999</v>
      </c>
      <c r="AI33" s="1">
        <v>2637.51</v>
      </c>
      <c r="AJ33" s="1">
        <f t="shared" si="22"/>
        <v>659.37750000000005</v>
      </c>
      <c r="AK33" s="5">
        <f t="shared" si="23"/>
        <v>11868.795000000002</v>
      </c>
      <c r="AL33" s="6">
        <f t="shared" si="24"/>
        <v>10494.86</v>
      </c>
      <c r="AM33" s="6">
        <f t="shared" si="24"/>
        <v>5655059.0774999997</v>
      </c>
      <c r="AN33" s="6">
        <f t="shared" si="25"/>
        <v>538.84083041603219</v>
      </c>
      <c r="AO33" s="6">
        <f t="shared" si="26"/>
        <v>0.53884083041603215</v>
      </c>
    </row>
    <row r="34" spans="1:41" ht="14" x14ac:dyDescent="0.15">
      <c r="A34" s="1" t="s">
        <v>31</v>
      </c>
      <c r="B34" s="1">
        <v>4473.3599999999997</v>
      </c>
      <c r="C34" s="1">
        <f t="shared" si="0"/>
        <v>1118.3399999999999</v>
      </c>
      <c r="D34" s="1">
        <f t="shared" si="1"/>
        <v>310898.51999999996</v>
      </c>
      <c r="E34" s="1">
        <v>9299.0499999999993</v>
      </c>
      <c r="F34" s="1">
        <f t="shared" si="2"/>
        <v>2324.7624999999998</v>
      </c>
      <c r="G34" s="1">
        <f t="shared" si="3"/>
        <v>2617682.5749999997</v>
      </c>
      <c r="H34" s="1">
        <v>10403.370000000001</v>
      </c>
      <c r="I34" s="1">
        <f t="shared" si="4"/>
        <v>2600.8425000000002</v>
      </c>
      <c r="J34" s="1">
        <f t="shared" si="5"/>
        <v>1136568.1725000001</v>
      </c>
      <c r="K34" s="1">
        <v>6132.62</v>
      </c>
      <c r="L34" s="1">
        <f t="shared" si="6"/>
        <v>1533.155</v>
      </c>
      <c r="M34" s="1">
        <f t="shared" si="7"/>
        <v>1445765.165</v>
      </c>
      <c r="N34" s="1">
        <v>528.53</v>
      </c>
      <c r="O34" s="1">
        <f t="shared" si="8"/>
        <v>132.13249999999999</v>
      </c>
      <c r="P34" s="1">
        <f t="shared" si="9"/>
        <v>122751.0925</v>
      </c>
      <c r="Q34" s="1">
        <v>33.229999999999997</v>
      </c>
      <c r="R34" s="1">
        <f t="shared" si="10"/>
        <v>8.3074999999999992</v>
      </c>
      <c r="S34" s="1">
        <f t="shared" si="11"/>
        <v>1345.8149999999998</v>
      </c>
      <c r="T34" s="1">
        <v>5301.51</v>
      </c>
      <c r="U34" s="1">
        <f t="shared" si="12"/>
        <v>1325.3775000000001</v>
      </c>
      <c r="V34" s="1">
        <f t="shared" si="13"/>
        <v>33134.4375</v>
      </c>
      <c r="W34" s="1">
        <v>1303.3599999999999</v>
      </c>
      <c r="X34" s="1">
        <f t="shared" si="14"/>
        <v>325.83999999999997</v>
      </c>
      <c r="Y34" s="1">
        <f t="shared" si="15"/>
        <v>977.52</v>
      </c>
      <c r="Z34" s="1">
        <v>367.14</v>
      </c>
      <c r="AA34" s="1">
        <f t="shared" si="16"/>
        <v>91.784999999999997</v>
      </c>
      <c r="AB34" s="1">
        <f t="shared" si="17"/>
        <v>275.35500000000002</v>
      </c>
      <c r="AC34" s="1">
        <v>425.35</v>
      </c>
      <c r="AD34" s="1">
        <f t="shared" si="18"/>
        <v>106.33750000000001</v>
      </c>
      <c r="AE34" s="1">
        <f t="shared" si="19"/>
        <v>6061.2375000000002</v>
      </c>
      <c r="AF34" s="1">
        <v>1586.16</v>
      </c>
      <c r="AG34" s="1">
        <f t="shared" si="20"/>
        <v>396.54</v>
      </c>
      <c r="AH34" s="1">
        <f t="shared" si="21"/>
        <v>3965.4</v>
      </c>
      <c r="AI34" s="1">
        <v>2604.52</v>
      </c>
      <c r="AJ34" s="1">
        <f t="shared" si="22"/>
        <v>651.13</v>
      </c>
      <c r="AK34" s="5">
        <f t="shared" si="23"/>
        <v>11720.34</v>
      </c>
      <c r="AL34" s="6">
        <f t="shared" si="24"/>
        <v>10614.55</v>
      </c>
      <c r="AM34" s="6">
        <f t="shared" si="24"/>
        <v>5691145.6300000008</v>
      </c>
      <c r="AN34" s="6">
        <f t="shared" si="25"/>
        <v>536.16456938824547</v>
      </c>
      <c r="AO34" s="6">
        <f t="shared" si="26"/>
        <v>0.53616456938824542</v>
      </c>
    </row>
    <row r="35" spans="1:41" ht="14" x14ac:dyDescent="0.15">
      <c r="A35" s="1" t="s">
        <v>32</v>
      </c>
      <c r="B35" s="1">
        <v>4501.58</v>
      </c>
      <c r="C35" s="1">
        <f t="shared" si="0"/>
        <v>1125.395</v>
      </c>
      <c r="D35" s="1">
        <f t="shared" si="1"/>
        <v>312859.81</v>
      </c>
      <c r="E35" s="1">
        <v>9247.83</v>
      </c>
      <c r="F35" s="1">
        <f t="shared" si="2"/>
        <v>2311.9575</v>
      </c>
      <c r="G35" s="1">
        <f t="shared" si="3"/>
        <v>2603264.145</v>
      </c>
      <c r="H35" s="1">
        <v>10561.25</v>
      </c>
      <c r="I35" s="1">
        <f t="shared" si="4"/>
        <v>2640.3125</v>
      </c>
      <c r="J35" s="1">
        <f t="shared" si="5"/>
        <v>1153816.5625</v>
      </c>
      <c r="K35" s="1">
        <v>6129.05</v>
      </c>
      <c r="L35" s="1">
        <f t="shared" si="6"/>
        <v>1532.2625</v>
      </c>
      <c r="M35" s="1">
        <f t="shared" si="7"/>
        <v>1444923.5375000001</v>
      </c>
      <c r="N35" s="1">
        <v>482.24</v>
      </c>
      <c r="O35" s="1">
        <f t="shared" si="8"/>
        <v>120.56</v>
      </c>
      <c r="P35" s="1">
        <f t="shared" si="9"/>
        <v>112000.24</v>
      </c>
      <c r="Q35" s="1">
        <v>33.22</v>
      </c>
      <c r="R35" s="1">
        <f t="shared" si="10"/>
        <v>8.3049999999999997</v>
      </c>
      <c r="S35" s="1">
        <f t="shared" si="11"/>
        <v>1345.4099999999999</v>
      </c>
      <c r="T35" s="1">
        <v>5730.95</v>
      </c>
      <c r="U35" s="1">
        <f t="shared" si="12"/>
        <v>1432.7375</v>
      </c>
      <c r="V35" s="1">
        <f t="shared" si="13"/>
        <v>35818.4375</v>
      </c>
      <c r="W35" s="1">
        <v>1318.21</v>
      </c>
      <c r="X35" s="1">
        <f t="shared" si="14"/>
        <v>329.55250000000001</v>
      </c>
      <c r="Y35" s="1">
        <f t="shared" si="15"/>
        <v>988.65750000000003</v>
      </c>
      <c r="Z35" s="1">
        <v>424.42</v>
      </c>
      <c r="AA35" s="1">
        <f t="shared" si="16"/>
        <v>106.105</v>
      </c>
      <c r="AB35" s="1">
        <f t="shared" si="17"/>
        <v>318.315</v>
      </c>
      <c r="AC35" s="1">
        <v>1199.4000000000001</v>
      </c>
      <c r="AD35" s="1">
        <f t="shared" si="18"/>
        <v>299.85000000000002</v>
      </c>
      <c r="AE35" s="1">
        <f t="shared" si="19"/>
        <v>17091.45</v>
      </c>
      <c r="AF35" s="1">
        <v>1574.63</v>
      </c>
      <c r="AG35" s="1">
        <f t="shared" si="20"/>
        <v>393.65750000000003</v>
      </c>
      <c r="AH35" s="1">
        <f t="shared" si="21"/>
        <v>3936.5750000000003</v>
      </c>
      <c r="AI35" s="1">
        <v>2570.2600000000002</v>
      </c>
      <c r="AJ35" s="1">
        <f t="shared" si="22"/>
        <v>642.56500000000005</v>
      </c>
      <c r="AK35" s="5">
        <f t="shared" si="23"/>
        <v>11566.170000000002</v>
      </c>
      <c r="AL35" s="6">
        <f t="shared" si="24"/>
        <v>10943.26</v>
      </c>
      <c r="AM35" s="6">
        <f t="shared" si="24"/>
        <v>5697929.3100000005</v>
      </c>
      <c r="AN35" s="6">
        <f t="shared" si="25"/>
        <v>520.67933230134349</v>
      </c>
      <c r="AO35" s="6">
        <f t="shared" si="26"/>
        <v>0.52067933230134344</v>
      </c>
    </row>
    <row r="36" spans="1:41" ht="14" x14ac:dyDescent="0.15">
      <c r="A36" s="1" t="s">
        <v>33</v>
      </c>
      <c r="B36" s="1">
        <v>4503.0200000000004</v>
      </c>
      <c r="C36" s="1">
        <f t="shared" si="0"/>
        <v>1125.7550000000001</v>
      </c>
      <c r="D36" s="1">
        <f t="shared" si="1"/>
        <v>312959.89</v>
      </c>
      <c r="E36" s="1">
        <v>9214.26</v>
      </c>
      <c r="F36" s="1">
        <f t="shared" si="2"/>
        <v>2303.5650000000001</v>
      </c>
      <c r="G36" s="1">
        <f t="shared" si="3"/>
        <v>2593814.19</v>
      </c>
      <c r="H36" s="1">
        <v>10569.41</v>
      </c>
      <c r="I36" s="1">
        <f t="shared" si="4"/>
        <v>2642.3525</v>
      </c>
      <c r="J36" s="1">
        <f t="shared" si="5"/>
        <v>1154708.0425</v>
      </c>
      <c r="K36" s="1">
        <v>6103.76</v>
      </c>
      <c r="L36" s="1">
        <f t="shared" si="6"/>
        <v>1525.94</v>
      </c>
      <c r="M36" s="1">
        <f t="shared" si="7"/>
        <v>1438961.4200000002</v>
      </c>
      <c r="N36" s="1">
        <v>480.45</v>
      </c>
      <c r="O36" s="1">
        <f t="shared" si="8"/>
        <v>120.1125</v>
      </c>
      <c r="P36" s="1">
        <f t="shared" si="9"/>
        <v>111584.5125</v>
      </c>
      <c r="Q36" s="1">
        <v>33.31</v>
      </c>
      <c r="R36" s="1">
        <f t="shared" si="10"/>
        <v>8.3275000000000006</v>
      </c>
      <c r="S36" s="1">
        <f t="shared" si="11"/>
        <v>1349.0550000000001</v>
      </c>
      <c r="T36" s="1">
        <v>5479.78</v>
      </c>
      <c r="U36" s="1">
        <f t="shared" si="12"/>
        <v>1369.9449999999999</v>
      </c>
      <c r="V36" s="1">
        <f t="shared" si="13"/>
        <v>34248.625</v>
      </c>
      <c r="W36" s="1">
        <v>1304.17</v>
      </c>
      <c r="X36" s="1">
        <f t="shared" si="14"/>
        <v>326.04250000000002</v>
      </c>
      <c r="Y36" s="1">
        <f t="shared" si="15"/>
        <v>978.12750000000005</v>
      </c>
      <c r="Z36" s="1">
        <v>407.63</v>
      </c>
      <c r="AA36" s="1">
        <f t="shared" si="16"/>
        <v>101.9075</v>
      </c>
      <c r="AB36" s="1">
        <f t="shared" si="17"/>
        <v>305.72249999999997</v>
      </c>
      <c r="AC36" s="1">
        <v>2204.16</v>
      </c>
      <c r="AD36" s="1">
        <f t="shared" si="18"/>
        <v>551.04</v>
      </c>
      <c r="AE36" s="1">
        <f t="shared" si="19"/>
        <v>31409.279999999999</v>
      </c>
      <c r="AF36" s="1">
        <v>1567.74</v>
      </c>
      <c r="AG36" s="1">
        <f t="shared" si="20"/>
        <v>391.935</v>
      </c>
      <c r="AH36" s="1">
        <f t="shared" si="21"/>
        <v>3919.35</v>
      </c>
      <c r="AI36" s="1">
        <v>2556.5100000000002</v>
      </c>
      <c r="AJ36" s="1">
        <f t="shared" si="22"/>
        <v>639.12750000000005</v>
      </c>
      <c r="AK36" s="5">
        <f t="shared" si="23"/>
        <v>11504.295000000002</v>
      </c>
      <c r="AL36" s="6">
        <f t="shared" si="24"/>
        <v>11106.05</v>
      </c>
      <c r="AM36" s="6">
        <f t="shared" si="24"/>
        <v>5695742.5100000007</v>
      </c>
      <c r="AN36" s="6">
        <f t="shared" si="25"/>
        <v>512.8504292705328</v>
      </c>
      <c r="AO36" s="6">
        <f t="shared" si="26"/>
        <v>0.51285042927053281</v>
      </c>
    </row>
    <row r="37" spans="1:41" ht="14" x14ac:dyDescent="0.15">
      <c r="A37" s="1" t="s">
        <v>34</v>
      </c>
      <c r="B37" s="1">
        <v>4503.22</v>
      </c>
      <c r="C37" s="1">
        <f t="shared" si="0"/>
        <v>1125.8050000000001</v>
      </c>
      <c r="D37" s="1">
        <f t="shared" si="1"/>
        <v>312973.79000000004</v>
      </c>
      <c r="E37" s="1">
        <v>9239.74</v>
      </c>
      <c r="F37" s="1">
        <f t="shared" si="2"/>
        <v>2309.9349999999999</v>
      </c>
      <c r="G37" s="1">
        <f t="shared" si="3"/>
        <v>2600986.81</v>
      </c>
      <c r="H37" s="1">
        <v>10564.9</v>
      </c>
      <c r="I37" s="1">
        <f t="shared" si="4"/>
        <v>2641.2249999999999</v>
      </c>
      <c r="J37" s="1">
        <f t="shared" si="5"/>
        <v>1154215.325</v>
      </c>
      <c r="K37" s="1">
        <v>6122.52</v>
      </c>
      <c r="L37" s="1">
        <f t="shared" si="6"/>
        <v>1530.63</v>
      </c>
      <c r="M37" s="1">
        <f t="shared" si="7"/>
        <v>1443384.09</v>
      </c>
      <c r="N37" s="1">
        <v>439.07</v>
      </c>
      <c r="O37" s="1">
        <f t="shared" si="8"/>
        <v>109.7675</v>
      </c>
      <c r="P37" s="1">
        <f t="shared" si="9"/>
        <v>101974.00749999999</v>
      </c>
      <c r="Q37" s="1">
        <v>33.14</v>
      </c>
      <c r="R37" s="1">
        <f t="shared" si="10"/>
        <v>8.2850000000000001</v>
      </c>
      <c r="S37" s="1">
        <f t="shared" si="11"/>
        <v>1342.17</v>
      </c>
      <c r="T37" s="1">
        <v>5452.18</v>
      </c>
      <c r="U37" s="1">
        <f t="shared" si="12"/>
        <v>1363.0450000000001</v>
      </c>
      <c r="V37" s="1">
        <f t="shared" si="13"/>
        <v>34076.125</v>
      </c>
      <c r="W37" s="1">
        <v>1291.02</v>
      </c>
      <c r="X37" s="1">
        <f t="shared" si="14"/>
        <v>322.755</v>
      </c>
      <c r="Y37" s="1">
        <f t="shared" si="15"/>
        <v>968.26499999999999</v>
      </c>
      <c r="Z37" s="1">
        <v>356.49</v>
      </c>
      <c r="AA37" s="1">
        <f t="shared" si="16"/>
        <v>89.122500000000002</v>
      </c>
      <c r="AB37" s="1">
        <f t="shared" si="17"/>
        <v>267.36750000000001</v>
      </c>
      <c r="AC37" s="1">
        <v>3561.36</v>
      </c>
      <c r="AD37" s="1">
        <f t="shared" si="18"/>
        <v>890.34</v>
      </c>
      <c r="AE37" s="1">
        <f t="shared" si="19"/>
        <v>50749.380000000005</v>
      </c>
      <c r="AF37" s="1">
        <v>1600.21</v>
      </c>
      <c r="AG37" s="1">
        <f t="shared" si="20"/>
        <v>400.05250000000001</v>
      </c>
      <c r="AH37" s="1">
        <f t="shared" si="21"/>
        <v>4000.5250000000001</v>
      </c>
      <c r="AI37" s="1">
        <v>2505.86</v>
      </c>
      <c r="AJ37" s="1">
        <f t="shared" si="22"/>
        <v>626.46500000000003</v>
      </c>
      <c r="AK37" s="5">
        <f t="shared" si="23"/>
        <v>11276.37</v>
      </c>
      <c r="AL37" s="6">
        <f t="shared" si="24"/>
        <v>11417.4275</v>
      </c>
      <c r="AM37" s="6">
        <f t="shared" si="24"/>
        <v>5716214.2249999996</v>
      </c>
      <c r="AN37" s="6">
        <f t="shared" si="25"/>
        <v>500.65693213291695</v>
      </c>
      <c r="AO37" s="6">
        <f t="shared" si="26"/>
        <v>0.50065693213291695</v>
      </c>
    </row>
    <row r="38" spans="1:41" ht="14" x14ac:dyDescent="0.15">
      <c r="A38" s="1" t="s">
        <v>35</v>
      </c>
      <c r="B38" s="1">
        <v>4503.41</v>
      </c>
      <c r="C38" s="1">
        <f t="shared" si="0"/>
        <v>1125.8525</v>
      </c>
      <c r="D38" s="1">
        <f t="shared" si="1"/>
        <v>312986.995</v>
      </c>
      <c r="E38" s="1">
        <v>9254.2199999999993</v>
      </c>
      <c r="F38" s="1">
        <f t="shared" si="2"/>
        <v>2313.5549999999998</v>
      </c>
      <c r="G38" s="1">
        <f t="shared" si="3"/>
        <v>2605062.9299999997</v>
      </c>
      <c r="H38" s="1">
        <v>10499.39</v>
      </c>
      <c r="I38" s="1">
        <f t="shared" si="4"/>
        <v>2624.8474999999999</v>
      </c>
      <c r="J38" s="1">
        <f t="shared" si="5"/>
        <v>1147058.3574999999</v>
      </c>
      <c r="K38" s="1">
        <v>6131.32</v>
      </c>
      <c r="L38" s="1">
        <f t="shared" si="6"/>
        <v>1532.83</v>
      </c>
      <c r="M38" s="1">
        <f t="shared" si="7"/>
        <v>1445458.69</v>
      </c>
      <c r="N38" s="1">
        <v>429.04</v>
      </c>
      <c r="O38" s="1">
        <f t="shared" si="8"/>
        <v>107.26</v>
      </c>
      <c r="P38" s="1">
        <f t="shared" si="9"/>
        <v>99644.540000000008</v>
      </c>
      <c r="Q38" s="1">
        <v>32.83</v>
      </c>
      <c r="R38" s="1">
        <f t="shared" si="10"/>
        <v>8.2074999999999996</v>
      </c>
      <c r="S38" s="1">
        <f t="shared" si="11"/>
        <v>1329.615</v>
      </c>
      <c r="T38" s="1">
        <v>5190.29</v>
      </c>
      <c r="U38" s="1">
        <f t="shared" si="12"/>
        <v>1297.5725</v>
      </c>
      <c r="V38" s="1">
        <f t="shared" si="13"/>
        <v>32439.3125</v>
      </c>
      <c r="W38" s="1">
        <v>1211.3900000000001</v>
      </c>
      <c r="X38" s="1">
        <f t="shared" si="14"/>
        <v>302.84750000000003</v>
      </c>
      <c r="Y38" s="1">
        <f t="shared" si="15"/>
        <v>908.54250000000002</v>
      </c>
      <c r="Z38" s="1">
        <v>306.62</v>
      </c>
      <c r="AA38" s="1">
        <f t="shared" si="16"/>
        <v>76.655000000000001</v>
      </c>
      <c r="AB38" s="1">
        <f t="shared" si="17"/>
        <v>229.965</v>
      </c>
      <c r="AC38" s="1">
        <v>5141.5200000000004</v>
      </c>
      <c r="AD38" s="1">
        <f t="shared" si="18"/>
        <v>1285.3800000000001</v>
      </c>
      <c r="AE38" s="1">
        <f t="shared" si="19"/>
        <v>73266.66</v>
      </c>
      <c r="AF38" s="1">
        <v>1592.17</v>
      </c>
      <c r="AG38" s="1">
        <f t="shared" si="20"/>
        <v>398.04250000000002</v>
      </c>
      <c r="AH38" s="1">
        <f t="shared" si="21"/>
        <v>3980.4250000000002</v>
      </c>
      <c r="AI38" s="1">
        <v>2481.81</v>
      </c>
      <c r="AJ38" s="1">
        <f t="shared" si="22"/>
        <v>620.45249999999999</v>
      </c>
      <c r="AK38" s="5">
        <f t="shared" si="23"/>
        <v>11168.145</v>
      </c>
      <c r="AL38" s="6">
        <f t="shared" si="24"/>
        <v>11693.502499999999</v>
      </c>
      <c r="AM38" s="6">
        <f t="shared" si="24"/>
        <v>5733534.1775000002</v>
      </c>
      <c r="AN38" s="6">
        <f t="shared" si="25"/>
        <v>490.31795028906015</v>
      </c>
      <c r="AO38" s="6">
        <f t="shared" si="26"/>
        <v>0.49031795028906017</v>
      </c>
    </row>
    <row r="39" spans="1:41" ht="14" x14ac:dyDescent="0.15">
      <c r="A39" s="1" t="s">
        <v>36</v>
      </c>
      <c r="B39" s="1">
        <v>4457.42</v>
      </c>
      <c r="C39" s="1">
        <f t="shared" si="0"/>
        <v>1114.355</v>
      </c>
      <c r="D39" s="1">
        <f t="shared" si="1"/>
        <v>309790.69</v>
      </c>
      <c r="E39" s="1">
        <v>9265.07</v>
      </c>
      <c r="F39" s="1">
        <f t="shared" si="2"/>
        <v>2316.2674999999999</v>
      </c>
      <c r="G39" s="1">
        <f t="shared" si="3"/>
        <v>2608117.2050000001</v>
      </c>
      <c r="H39" s="1">
        <v>10269.43</v>
      </c>
      <c r="I39" s="1">
        <f t="shared" si="4"/>
        <v>2567.3575000000001</v>
      </c>
      <c r="J39" s="1">
        <f t="shared" si="5"/>
        <v>1121935.2275</v>
      </c>
      <c r="K39" s="1">
        <v>6094.96</v>
      </c>
      <c r="L39" s="1">
        <f t="shared" si="6"/>
        <v>1523.74</v>
      </c>
      <c r="M39" s="1">
        <f t="shared" si="7"/>
        <v>1436886.82</v>
      </c>
      <c r="N39" s="1">
        <v>379.78</v>
      </c>
      <c r="O39" s="1">
        <f t="shared" si="8"/>
        <v>94.944999999999993</v>
      </c>
      <c r="P39" s="1">
        <f t="shared" si="9"/>
        <v>88203.904999999999</v>
      </c>
      <c r="Q39" s="1">
        <v>32.35</v>
      </c>
      <c r="R39" s="1">
        <f t="shared" si="10"/>
        <v>8.0875000000000004</v>
      </c>
      <c r="S39" s="1">
        <f t="shared" si="11"/>
        <v>1310.175</v>
      </c>
      <c r="T39" s="1">
        <v>5205.1899999999996</v>
      </c>
      <c r="U39" s="1">
        <f t="shared" si="12"/>
        <v>1301.2974999999999</v>
      </c>
      <c r="V39" s="1">
        <f t="shared" si="13"/>
        <v>32532.437499999996</v>
      </c>
      <c r="W39" s="1">
        <v>1215.45</v>
      </c>
      <c r="X39" s="1">
        <f t="shared" si="14"/>
        <v>303.86250000000001</v>
      </c>
      <c r="Y39" s="1">
        <f t="shared" si="15"/>
        <v>911.58750000000009</v>
      </c>
      <c r="Z39" s="1">
        <v>275.08</v>
      </c>
      <c r="AA39" s="1">
        <f t="shared" si="16"/>
        <v>68.77</v>
      </c>
      <c r="AB39" s="1">
        <f t="shared" si="17"/>
        <v>206.31</v>
      </c>
      <c r="AC39" s="1">
        <v>6988.31</v>
      </c>
      <c r="AD39" s="1">
        <f t="shared" si="18"/>
        <v>1747.0775000000001</v>
      </c>
      <c r="AE39" s="1">
        <f t="shared" si="19"/>
        <v>99583.41750000001</v>
      </c>
      <c r="AF39" s="1">
        <v>1557.72</v>
      </c>
      <c r="AG39" s="1">
        <f t="shared" si="20"/>
        <v>389.43</v>
      </c>
      <c r="AH39" s="1">
        <f t="shared" si="21"/>
        <v>3894.3</v>
      </c>
      <c r="AI39" s="1">
        <v>2461.9499999999998</v>
      </c>
      <c r="AJ39" s="1">
        <f t="shared" si="22"/>
        <v>615.48749999999995</v>
      </c>
      <c r="AK39" s="5">
        <f t="shared" si="23"/>
        <v>11078.775</v>
      </c>
      <c r="AL39" s="6">
        <f t="shared" si="24"/>
        <v>12050.677499999998</v>
      </c>
      <c r="AM39" s="6">
        <f t="shared" si="24"/>
        <v>5714450.8500000006</v>
      </c>
      <c r="AN39" s="6">
        <f t="shared" si="25"/>
        <v>474.20162476342108</v>
      </c>
      <c r="AO39" s="6">
        <f t="shared" si="26"/>
        <v>0.47420162476342109</v>
      </c>
    </row>
    <row r="40" spans="1:41" ht="14" x14ac:dyDescent="0.15">
      <c r="A40" s="1" t="s">
        <v>37</v>
      </c>
      <c r="B40" s="1">
        <v>4429.1000000000004</v>
      </c>
      <c r="C40" s="1">
        <f t="shared" si="0"/>
        <v>1107.2750000000001</v>
      </c>
      <c r="D40" s="1">
        <f t="shared" si="1"/>
        <v>307822.45</v>
      </c>
      <c r="E40" s="1">
        <v>9259.77</v>
      </c>
      <c r="F40" s="1">
        <f t="shared" si="2"/>
        <v>2314.9425000000001</v>
      </c>
      <c r="G40" s="1">
        <f t="shared" si="3"/>
        <v>2606625.2550000004</v>
      </c>
      <c r="H40" s="1">
        <v>9855.0400000000009</v>
      </c>
      <c r="I40" s="1">
        <f t="shared" si="4"/>
        <v>2463.7600000000002</v>
      </c>
      <c r="J40" s="1">
        <f t="shared" si="5"/>
        <v>1076663.1200000001</v>
      </c>
      <c r="K40" s="1">
        <v>6080.36</v>
      </c>
      <c r="L40" s="1">
        <f t="shared" si="6"/>
        <v>1520.09</v>
      </c>
      <c r="M40" s="1">
        <f t="shared" si="7"/>
        <v>1433444.8699999999</v>
      </c>
      <c r="N40" s="1">
        <v>357.18</v>
      </c>
      <c r="O40" s="1">
        <f t="shared" si="8"/>
        <v>89.295000000000002</v>
      </c>
      <c r="P40" s="1">
        <f t="shared" si="9"/>
        <v>82955.055000000008</v>
      </c>
      <c r="Q40" s="1">
        <v>29.59</v>
      </c>
      <c r="R40" s="1">
        <f t="shared" si="10"/>
        <v>7.3975</v>
      </c>
      <c r="S40" s="1">
        <f t="shared" si="11"/>
        <v>1198.395</v>
      </c>
      <c r="T40" s="1">
        <v>4215.3100000000004</v>
      </c>
      <c r="U40" s="1">
        <f t="shared" si="12"/>
        <v>1053.8275000000001</v>
      </c>
      <c r="V40" s="1">
        <f t="shared" si="13"/>
        <v>26345.687500000004</v>
      </c>
      <c r="W40" s="1">
        <v>1138.26</v>
      </c>
      <c r="X40" s="1">
        <f t="shared" si="14"/>
        <v>284.565</v>
      </c>
      <c r="Y40" s="1">
        <f t="shared" si="15"/>
        <v>853.69499999999994</v>
      </c>
      <c r="Z40" s="1">
        <v>258.92</v>
      </c>
      <c r="AA40" s="1">
        <f t="shared" si="16"/>
        <v>64.73</v>
      </c>
      <c r="AB40" s="1">
        <f t="shared" si="17"/>
        <v>194.19</v>
      </c>
      <c r="AC40" s="1">
        <v>8999.23</v>
      </c>
      <c r="AD40" s="1">
        <f t="shared" si="18"/>
        <v>2249.8074999999999</v>
      </c>
      <c r="AE40" s="1">
        <f t="shared" si="19"/>
        <v>128239.0275</v>
      </c>
      <c r="AF40" s="1">
        <v>1606.61</v>
      </c>
      <c r="AG40" s="1">
        <f t="shared" si="20"/>
        <v>401.65249999999997</v>
      </c>
      <c r="AH40" s="1">
        <f t="shared" si="21"/>
        <v>4016.5249999999996</v>
      </c>
      <c r="AI40" s="1">
        <v>2360.23</v>
      </c>
      <c r="AJ40" s="1">
        <f t="shared" si="22"/>
        <v>590.0575</v>
      </c>
      <c r="AK40" s="5">
        <f t="shared" si="23"/>
        <v>10621.035</v>
      </c>
      <c r="AL40" s="6">
        <f t="shared" si="24"/>
        <v>12147.400000000003</v>
      </c>
      <c r="AM40" s="6">
        <f t="shared" si="24"/>
        <v>5678979.3050000006</v>
      </c>
      <c r="AN40" s="6">
        <f t="shared" si="25"/>
        <v>467.50574649719272</v>
      </c>
      <c r="AO40" s="6">
        <f t="shared" si="26"/>
        <v>0.46750574649719273</v>
      </c>
    </row>
    <row r="41" spans="1:41" ht="14" x14ac:dyDescent="0.15">
      <c r="A41" s="1" t="s">
        <v>38</v>
      </c>
      <c r="B41" s="1">
        <v>4366.41</v>
      </c>
      <c r="C41" s="1">
        <f t="shared" si="0"/>
        <v>1091.6025</v>
      </c>
      <c r="D41" s="1">
        <f t="shared" si="1"/>
        <v>303465.495</v>
      </c>
      <c r="E41" s="1">
        <v>9266.76</v>
      </c>
      <c r="F41" s="1">
        <f t="shared" si="2"/>
        <v>2316.69</v>
      </c>
      <c r="G41" s="1">
        <f t="shared" si="3"/>
        <v>2608592.94</v>
      </c>
      <c r="H41" s="1">
        <v>9775.14</v>
      </c>
      <c r="I41" s="1">
        <f t="shared" si="4"/>
        <v>2443.7849999999999</v>
      </c>
      <c r="J41" s="1">
        <f t="shared" si="5"/>
        <v>1067934.0449999999</v>
      </c>
      <c r="K41" s="1">
        <v>6069.7</v>
      </c>
      <c r="L41" s="1">
        <f t="shared" si="6"/>
        <v>1517.425</v>
      </c>
      <c r="M41" s="1">
        <f t="shared" si="7"/>
        <v>1430931.7749999999</v>
      </c>
      <c r="N41" s="1">
        <v>342.74</v>
      </c>
      <c r="O41" s="1">
        <f t="shared" si="8"/>
        <v>85.685000000000002</v>
      </c>
      <c r="P41" s="1">
        <f t="shared" si="9"/>
        <v>79601.365000000005</v>
      </c>
      <c r="Q41" s="1">
        <v>29.08</v>
      </c>
      <c r="R41" s="1">
        <f t="shared" si="10"/>
        <v>7.27</v>
      </c>
      <c r="S41" s="1">
        <f t="shared" si="11"/>
        <v>1177.74</v>
      </c>
      <c r="T41" s="1">
        <v>3308.95</v>
      </c>
      <c r="U41" s="1">
        <f t="shared" si="12"/>
        <v>827.23749999999995</v>
      </c>
      <c r="V41" s="1">
        <f t="shared" si="13"/>
        <v>20680.9375</v>
      </c>
      <c r="W41" s="1">
        <v>1116.71</v>
      </c>
      <c r="X41" s="1">
        <f t="shared" si="14"/>
        <v>279.17750000000001</v>
      </c>
      <c r="Y41" s="1">
        <f t="shared" si="15"/>
        <v>837.53250000000003</v>
      </c>
      <c r="Z41" s="1">
        <v>158.41</v>
      </c>
      <c r="AA41" s="1">
        <f t="shared" si="16"/>
        <v>39.602499999999999</v>
      </c>
      <c r="AB41" s="1">
        <f t="shared" si="17"/>
        <v>118.8075</v>
      </c>
      <c r="AC41" s="1">
        <v>11213.53</v>
      </c>
      <c r="AD41" s="1">
        <f t="shared" si="18"/>
        <v>2803.3825000000002</v>
      </c>
      <c r="AE41" s="1">
        <f t="shared" si="19"/>
        <v>159792.80250000002</v>
      </c>
      <c r="AF41" s="1">
        <v>1520.65</v>
      </c>
      <c r="AG41" s="1">
        <f t="shared" si="20"/>
        <v>380.16250000000002</v>
      </c>
      <c r="AH41" s="1">
        <f t="shared" si="21"/>
        <v>3801.625</v>
      </c>
      <c r="AI41" s="1">
        <v>2270.7800000000002</v>
      </c>
      <c r="AJ41" s="1">
        <f t="shared" si="22"/>
        <v>567.69500000000005</v>
      </c>
      <c r="AK41" s="5">
        <f t="shared" si="23"/>
        <v>10218.51</v>
      </c>
      <c r="AL41" s="6">
        <f t="shared" si="24"/>
        <v>12359.715</v>
      </c>
      <c r="AM41" s="6">
        <f t="shared" si="24"/>
        <v>5687153.5750000002</v>
      </c>
      <c r="AN41" s="6">
        <f t="shared" si="25"/>
        <v>460.13630370926836</v>
      </c>
      <c r="AO41" s="6">
        <f t="shared" si="26"/>
        <v>0.46013630370926834</v>
      </c>
    </row>
    <row r="42" spans="1:41" ht="14" x14ac:dyDescent="0.15">
      <c r="A42" s="1" t="s">
        <v>39</v>
      </c>
      <c r="B42" s="1">
        <v>4336.6499999999996</v>
      </c>
      <c r="C42" s="1">
        <f t="shared" si="0"/>
        <v>1084.1624999999999</v>
      </c>
      <c r="D42" s="1">
        <f t="shared" si="1"/>
        <v>301397.17499999999</v>
      </c>
      <c r="E42" s="1">
        <v>9244.0300000000007</v>
      </c>
      <c r="F42" s="1">
        <f t="shared" si="2"/>
        <v>2311.0075000000002</v>
      </c>
      <c r="G42" s="1">
        <f t="shared" si="3"/>
        <v>2602194.4450000003</v>
      </c>
      <c r="H42" s="1">
        <v>9160.19</v>
      </c>
      <c r="I42" s="1">
        <f t="shared" si="4"/>
        <v>2290.0475000000001</v>
      </c>
      <c r="J42" s="1">
        <f t="shared" si="5"/>
        <v>1000750.7575000001</v>
      </c>
      <c r="K42" s="1">
        <v>6116.5</v>
      </c>
      <c r="L42" s="1">
        <f t="shared" si="6"/>
        <v>1529.125</v>
      </c>
      <c r="M42" s="1">
        <f t="shared" si="7"/>
        <v>1441964.875</v>
      </c>
      <c r="N42" s="1">
        <v>342.17</v>
      </c>
      <c r="O42" s="1">
        <f t="shared" si="8"/>
        <v>85.542500000000004</v>
      </c>
      <c r="P42" s="1">
        <f t="shared" si="9"/>
        <v>79468.982499999998</v>
      </c>
      <c r="Q42" s="1">
        <v>28.71</v>
      </c>
      <c r="R42" s="1">
        <f t="shared" si="10"/>
        <v>7.1775000000000002</v>
      </c>
      <c r="S42" s="1">
        <f t="shared" si="11"/>
        <v>1162.7550000000001</v>
      </c>
      <c r="T42" s="1">
        <v>1712.22</v>
      </c>
      <c r="U42" s="1">
        <f t="shared" si="12"/>
        <v>428.05500000000001</v>
      </c>
      <c r="V42" s="1">
        <f t="shared" si="13"/>
        <v>10701.375</v>
      </c>
      <c r="W42" s="1">
        <v>1128.0999999999999</v>
      </c>
      <c r="X42" s="1">
        <f t="shared" si="14"/>
        <v>282.02499999999998</v>
      </c>
      <c r="Y42" s="1">
        <f t="shared" si="15"/>
        <v>846.07499999999993</v>
      </c>
      <c r="Z42" s="1">
        <v>56.53</v>
      </c>
      <c r="AA42" s="1">
        <f t="shared" si="16"/>
        <v>14.1325</v>
      </c>
      <c r="AB42" s="1">
        <f t="shared" si="17"/>
        <v>42.397500000000001</v>
      </c>
      <c r="AC42" s="1">
        <v>13567.48</v>
      </c>
      <c r="AD42" s="1">
        <f t="shared" si="18"/>
        <v>3391.87</v>
      </c>
      <c r="AE42" s="1">
        <f t="shared" si="19"/>
        <v>193336.59</v>
      </c>
      <c r="AF42" s="1">
        <v>1514.13</v>
      </c>
      <c r="AG42" s="1">
        <f t="shared" si="20"/>
        <v>378.53250000000003</v>
      </c>
      <c r="AH42" s="1">
        <f t="shared" si="21"/>
        <v>3785.3250000000003</v>
      </c>
      <c r="AI42" s="1">
        <v>2201</v>
      </c>
      <c r="AJ42" s="1">
        <f t="shared" si="22"/>
        <v>550.25</v>
      </c>
      <c r="AK42" s="5">
        <f t="shared" si="23"/>
        <v>9904.5</v>
      </c>
      <c r="AL42" s="6">
        <f t="shared" si="24"/>
        <v>12351.9275</v>
      </c>
      <c r="AM42" s="6">
        <f t="shared" si="24"/>
        <v>5645555.2525000004</v>
      </c>
      <c r="AN42" s="6">
        <f t="shared" si="25"/>
        <v>457.05864550289829</v>
      </c>
      <c r="AO42" s="6">
        <f t="shared" si="26"/>
        <v>0.45705864550289826</v>
      </c>
    </row>
    <row r="43" spans="1:41" ht="14" x14ac:dyDescent="0.15">
      <c r="A43" s="1" t="s">
        <v>40</v>
      </c>
      <c r="B43" s="1">
        <v>4192.28</v>
      </c>
      <c r="C43" s="1">
        <f t="shared" si="0"/>
        <v>1048.07</v>
      </c>
      <c r="D43" s="1">
        <f t="shared" si="1"/>
        <v>291363.45999999996</v>
      </c>
      <c r="E43" s="1">
        <v>9230.9500000000007</v>
      </c>
      <c r="F43" s="1">
        <f t="shared" si="2"/>
        <v>2307.7375000000002</v>
      </c>
      <c r="G43" s="1">
        <f t="shared" si="3"/>
        <v>2598512.4250000003</v>
      </c>
      <c r="H43" s="1">
        <v>8127.01</v>
      </c>
      <c r="I43" s="1">
        <f t="shared" si="4"/>
        <v>2031.7525000000001</v>
      </c>
      <c r="J43" s="1">
        <f t="shared" si="5"/>
        <v>887875.84250000003</v>
      </c>
      <c r="K43" s="1">
        <v>6230.33</v>
      </c>
      <c r="L43" s="1">
        <f t="shared" si="6"/>
        <v>1557.5825</v>
      </c>
      <c r="M43" s="1">
        <f t="shared" si="7"/>
        <v>1468800.2974999999</v>
      </c>
      <c r="N43" s="1">
        <v>342.44</v>
      </c>
      <c r="O43" s="1">
        <f t="shared" si="8"/>
        <v>85.61</v>
      </c>
      <c r="P43" s="1">
        <f t="shared" si="9"/>
        <v>79531.69</v>
      </c>
      <c r="Q43" s="1">
        <v>28.83</v>
      </c>
      <c r="R43" s="1">
        <f t="shared" si="10"/>
        <v>7.2074999999999996</v>
      </c>
      <c r="S43" s="1">
        <f t="shared" si="11"/>
        <v>1167.615</v>
      </c>
      <c r="T43" s="1">
        <v>2516.06</v>
      </c>
      <c r="U43" s="1">
        <f t="shared" si="12"/>
        <v>629.01499999999999</v>
      </c>
      <c r="V43" s="1">
        <f t="shared" si="13"/>
        <v>15725.375</v>
      </c>
      <c r="W43" s="1">
        <v>1134.83</v>
      </c>
      <c r="X43" s="1">
        <f t="shared" si="14"/>
        <v>283.70749999999998</v>
      </c>
      <c r="Y43" s="1">
        <f t="shared" si="15"/>
        <v>851.12249999999995</v>
      </c>
      <c r="Z43" s="1">
        <v>360.29</v>
      </c>
      <c r="AA43" s="1">
        <f t="shared" si="16"/>
        <v>90.072500000000005</v>
      </c>
      <c r="AB43" s="1">
        <f t="shared" si="17"/>
        <v>270.21750000000003</v>
      </c>
      <c r="AC43" s="1">
        <v>16060.98</v>
      </c>
      <c r="AD43" s="1">
        <f t="shared" si="18"/>
        <v>4015.2449999999999</v>
      </c>
      <c r="AE43" s="1">
        <f t="shared" si="19"/>
        <v>228868.965</v>
      </c>
      <c r="AF43" s="1">
        <v>1551.47</v>
      </c>
      <c r="AG43" s="1">
        <f t="shared" si="20"/>
        <v>387.86750000000001</v>
      </c>
      <c r="AH43" s="1">
        <f t="shared" si="21"/>
        <v>3878.6750000000002</v>
      </c>
      <c r="AI43" s="1">
        <v>2172.64</v>
      </c>
      <c r="AJ43" s="1">
        <f t="shared" si="22"/>
        <v>543.16</v>
      </c>
      <c r="AK43" s="5">
        <f t="shared" si="23"/>
        <v>9776.8799999999992</v>
      </c>
      <c r="AL43" s="6">
        <f t="shared" si="24"/>
        <v>12987.0275</v>
      </c>
      <c r="AM43" s="6">
        <f t="shared" si="24"/>
        <v>5586622.5650000004</v>
      </c>
      <c r="AN43" s="6">
        <f t="shared" si="25"/>
        <v>430.16945679063207</v>
      </c>
      <c r="AO43" s="6">
        <f t="shared" si="26"/>
        <v>0.43016945679063207</v>
      </c>
    </row>
    <row r="44" spans="1:41" ht="14" x14ac:dyDescent="0.15">
      <c r="A44" s="1" t="s">
        <v>41</v>
      </c>
      <c r="B44" s="1">
        <v>4115.88</v>
      </c>
      <c r="C44" s="1">
        <f t="shared" si="0"/>
        <v>1028.97</v>
      </c>
      <c r="D44" s="1">
        <f t="shared" si="1"/>
        <v>286053.66000000003</v>
      </c>
      <c r="E44" s="1">
        <v>9234.4</v>
      </c>
      <c r="F44" s="1">
        <f t="shared" si="2"/>
        <v>2308.6</v>
      </c>
      <c r="G44" s="1">
        <f t="shared" si="3"/>
        <v>2599483.6</v>
      </c>
      <c r="H44" s="1">
        <v>7900.69</v>
      </c>
      <c r="I44" s="1">
        <f t="shared" si="4"/>
        <v>1975.1724999999999</v>
      </c>
      <c r="J44" s="1">
        <f t="shared" si="5"/>
        <v>863150.38249999995</v>
      </c>
      <c r="K44" s="1">
        <v>6205.89</v>
      </c>
      <c r="L44" s="1">
        <f t="shared" si="6"/>
        <v>1551.4725000000001</v>
      </c>
      <c r="M44" s="1">
        <f t="shared" si="7"/>
        <v>1463038.5675000001</v>
      </c>
      <c r="N44" s="1">
        <v>342.3</v>
      </c>
      <c r="O44" s="1">
        <f t="shared" si="8"/>
        <v>85.575000000000003</v>
      </c>
      <c r="P44" s="1">
        <f t="shared" si="9"/>
        <v>79499.175000000003</v>
      </c>
      <c r="Q44" s="1">
        <v>28.56</v>
      </c>
      <c r="R44" s="1">
        <f t="shared" si="10"/>
        <v>7.14</v>
      </c>
      <c r="S44" s="1">
        <f t="shared" si="11"/>
        <v>1156.6799999999998</v>
      </c>
      <c r="T44" s="1">
        <v>622.79</v>
      </c>
      <c r="U44" s="1">
        <f t="shared" si="12"/>
        <v>155.69749999999999</v>
      </c>
      <c r="V44" s="1">
        <f t="shared" si="13"/>
        <v>3892.4375</v>
      </c>
      <c r="W44" s="1">
        <v>1121.55</v>
      </c>
      <c r="X44" s="1">
        <f t="shared" si="14"/>
        <v>280.38749999999999</v>
      </c>
      <c r="Y44" s="1">
        <f t="shared" si="15"/>
        <v>841.16249999999991</v>
      </c>
      <c r="Z44" s="1">
        <v>125.32</v>
      </c>
      <c r="AA44" s="1">
        <f t="shared" si="16"/>
        <v>31.33</v>
      </c>
      <c r="AB44" s="1">
        <f t="shared" si="17"/>
        <v>93.99</v>
      </c>
      <c r="AC44" s="1">
        <v>18599.740000000002</v>
      </c>
      <c r="AD44" s="1">
        <f t="shared" si="18"/>
        <v>4649.9350000000004</v>
      </c>
      <c r="AE44" s="1">
        <f t="shared" si="19"/>
        <v>265046.29500000004</v>
      </c>
      <c r="AF44" s="1">
        <v>1497.15</v>
      </c>
      <c r="AG44" s="1">
        <f t="shared" si="20"/>
        <v>374.28750000000002</v>
      </c>
      <c r="AH44" s="1">
        <f t="shared" si="21"/>
        <v>3742.875</v>
      </c>
      <c r="AI44" s="1">
        <v>2139.81</v>
      </c>
      <c r="AJ44" s="1">
        <f t="shared" si="22"/>
        <v>534.95249999999999</v>
      </c>
      <c r="AK44" s="5">
        <f t="shared" si="23"/>
        <v>9629.1450000000004</v>
      </c>
      <c r="AL44" s="6">
        <f t="shared" si="24"/>
        <v>12983.519999999999</v>
      </c>
      <c r="AM44" s="6">
        <f t="shared" si="24"/>
        <v>5575627.9699999988</v>
      </c>
      <c r="AN44" s="6">
        <f t="shared" si="25"/>
        <v>429.43885556459259</v>
      </c>
      <c r="AO44" s="6">
        <f t="shared" si="26"/>
        <v>0.4294388555645926</v>
      </c>
    </row>
    <row r="45" spans="1:41" ht="14" x14ac:dyDescent="0.15">
      <c r="A45" s="1" t="s">
        <v>42</v>
      </c>
      <c r="B45" s="1">
        <v>4024.01</v>
      </c>
      <c r="C45" s="1">
        <f t="shared" si="0"/>
        <v>1006.0025000000001</v>
      </c>
      <c r="D45" s="1">
        <f t="shared" si="1"/>
        <v>279668.69500000001</v>
      </c>
      <c r="E45" s="1">
        <v>9221.91</v>
      </c>
      <c r="F45" s="1">
        <f t="shared" si="2"/>
        <v>2305.4775</v>
      </c>
      <c r="G45" s="1">
        <f t="shared" si="3"/>
        <v>2595967.665</v>
      </c>
      <c r="H45" s="1">
        <v>6979.71</v>
      </c>
      <c r="I45" s="1">
        <f t="shared" si="4"/>
        <v>1744.9275</v>
      </c>
      <c r="J45" s="1">
        <f t="shared" si="5"/>
        <v>762533.3175</v>
      </c>
      <c r="K45" s="1">
        <v>5908.69</v>
      </c>
      <c r="L45" s="1">
        <f t="shared" si="6"/>
        <v>1477.1724999999999</v>
      </c>
      <c r="M45" s="1">
        <f t="shared" si="7"/>
        <v>1392973.6675</v>
      </c>
      <c r="N45" s="1">
        <v>342.44</v>
      </c>
      <c r="O45" s="1">
        <f t="shared" si="8"/>
        <v>85.61</v>
      </c>
      <c r="P45" s="1">
        <f t="shared" si="9"/>
        <v>79531.69</v>
      </c>
      <c r="Q45" s="1">
        <v>28.23</v>
      </c>
      <c r="R45" s="1">
        <f t="shared" si="10"/>
        <v>7.0575000000000001</v>
      </c>
      <c r="S45" s="1">
        <f t="shared" si="11"/>
        <v>1143.3150000000001</v>
      </c>
      <c r="T45" s="1">
        <v>149.65</v>
      </c>
      <c r="U45" s="1">
        <f t="shared" si="12"/>
        <v>37.412500000000001</v>
      </c>
      <c r="V45" s="1">
        <f t="shared" si="13"/>
        <v>935.3125</v>
      </c>
      <c r="W45" s="1">
        <v>1111.97</v>
      </c>
      <c r="X45" s="1">
        <f t="shared" si="14"/>
        <v>277.99250000000001</v>
      </c>
      <c r="Y45" s="1">
        <f t="shared" si="15"/>
        <v>833.97749999999996</v>
      </c>
      <c r="Z45" s="1">
        <v>102.67</v>
      </c>
      <c r="AA45" s="1">
        <f t="shared" si="16"/>
        <v>25.6675</v>
      </c>
      <c r="AB45" s="1">
        <f t="shared" si="17"/>
        <v>77.002499999999998</v>
      </c>
      <c r="AC45" s="1">
        <v>21141.15</v>
      </c>
      <c r="AD45" s="1">
        <f t="shared" si="18"/>
        <v>5285.2875000000004</v>
      </c>
      <c r="AE45" s="1">
        <f t="shared" si="19"/>
        <v>301261.38750000001</v>
      </c>
      <c r="AF45" s="1">
        <v>1531.05</v>
      </c>
      <c r="AG45" s="1">
        <f t="shared" si="20"/>
        <v>382.76249999999999</v>
      </c>
      <c r="AH45" s="1">
        <f t="shared" si="21"/>
        <v>3827.625</v>
      </c>
      <c r="AI45" s="1">
        <v>2160.09</v>
      </c>
      <c r="AJ45" s="1">
        <f t="shared" si="22"/>
        <v>540.02250000000004</v>
      </c>
      <c r="AK45" s="5">
        <f t="shared" si="23"/>
        <v>9720.4050000000007</v>
      </c>
      <c r="AL45" s="6">
        <f t="shared" si="24"/>
        <v>13175.392500000002</v>
      </c>
      <c r="AM45" s="6">
        <f t="shared" si="24"/>
        <v>5428474.0600000015</v>
      </c>
      <c r="AN45" s="6">
        <f t="shared" si="25"/>
        <v>412.01611716690797</v>
      </c>
      <c r="AO45" s="6">
        <f t="shared" si="26"/>
        <v>0.412016117166908</v>
      </c>
    </row>
    <row r="46" spans="1:41" ht="14" x14ac:dyDescent="0.15">
      <c r="A46" s="1" t="s">
        <v>43</v>
      </c>
      <c r="B46" s="1">
        <v>3973.12</v>
      </c>
      <c r="C46" s="1">
        <f t="shared" si="0"/>
        <v>993.28</v>
      </c>
      <c r="D46" s="1">
        <f t="shared" si="1"/>
        <v>276131.83999999997</v>
      </c>
      <c r="E46" s="1">
        <v>9172.2099999999991</v>
      </c>
      <c r="F46" s="1">
        <f t="shared" si="2"/>
        <v>2293.0524999999998</v>
      </c>
      <c r="G46" s="1">
        <f t="shared" si="3"/>
        <v>2581977.1149999998</v>
      </c>
      <c r="H46" s="1">
        <v>5831.42</v>
      </c>
      <c r="I46" s="1">
        <f t="shared" si="4"/>
        <v>1457.855</v>
      </c>
      <c r="J46" s="1">
        <f t="shared" si="5"/>
        <v>637082.63500000001</v>
      </c>
      <c r="K46" s="1">
        <v>5267.34</v>
      </c>
      <c r="L46" s="1">
        <f t="shared" si="6"/>
        <v>1316.835</v>
      </c>
      <c r="M46" s="1">
        <f t="shared" si="7"/>
        <v>1241775.405</v>
      </c>
      <c r="N46" s="1">
        <v>342.17</v>
      </c>
      <c r="O46" s="1">
        <f t="shared" si="8"/>
        <v>85.542500000000004</v>
      </c>
      <c r="P46" s="1">
        <f t="shared" si="9"/>
        <v>79468.982499999998</v>
      </c>
      <c r="Q46" s="1">
        <v>29</v>
      </c>
      <c r="R46" s="1">
        <f t="shared" si="10"/>
        <v>7.25</v>
      </c>
      <c r="S46" s="1">
        <f t="shared" si="11"/>
        <v>1174.5</v>
      </c>
      <c r="T46" s="1">
        <v>149.21</v>
      </c>
      <c r="U46" s="1">
        <f t="shared" si="12"/>
        <v>37.302500000000002</v>
      </c>
      <c r="V46" s="1">
        <f t="shared" si="13"/>
        <v>932.5625</v>
      </c>
      <c r="W46" s="1">
        <v>1113.82</v>
      </c>
      <c r="X46" s="1">
        <f t="shared" si="14"/>
        <v>278.45499999999998</v>
      </c>
      <c r="Y46" s="1">
        <f t="shared" si="15"/>
        <v>835.36500000000001</v>
      </c>
      <c r="Z46" s="1">
        <v>181.73</v>
      </c>
      <c r="AA46" s="1">
        <f t="shared" si="16"/>
        <v>45.432499999999997</v>
      </c>
      <c r="AB46" s="1">
        <f t="shared" si="17"/>
        <v>136.29749999999999</v>
      </c>
      <c r="AC46" s="1">
        <v>23758.080000000002</v>
      </c>
      <c r="AD46" s="1">
        <f t="shared" si="18"/>
        <v>5939.52</v>
      </c>
      <c r="AE46" s="1">
        <f t="shared" si="19"/>
        <v>338552.64</v>
      </c>
      <c r="AF46" s="1">
        <v>1555.69</v>
      </c>
      <c r="AG46" s="1">
        <f t="shared" si="20"/>
        <v>388.92250000000001</v>
      </c>
      <c r="AH46" s="1">
        <f t="shared" si="21"/>
        <v>3889.2250000000004</v>
      </c>
      <c r="AI46" s="1">
        <v>2153.5100000000002</v>
      </c>
      <c r="AJ46" s="1">
        <f t="shared" si="22"/>
        <v>538.37750000000005</v>
      </c>
      <c r="AK46" s="5">
        <f t="shared" si="23"/>
        <v>9690.7950000000019</v>
      </c>
      <c r="AL46" s="6">
        <f t="shared" si="24"/>
        <v>13381.825000000001</v>
      </c>
      <c r="AM46" s="6">
        <f t="shared" si="24"/>
        <v>5171647.3624999998</v>
      </c>
      <c r="AN46" s="6">
        <f t="shared" si="25"/>
        <v>386.46801632064381</v>
      </c>
      <c r="AO46" s="6">
        <f t="shared" si="26"/>
        <v>0.38646801632064381</v>
      </c>
    </row>
    <row r="47" spans="1:41" ht="14" x14ac:dyDescent="0.15">
      <c r="A47" s="1" t="s">
        <v>44</v>
      </c>
      <c r="B47" s="1">
        <v>3831.64</v>
      </c>
      <c r="C47" s="1">
        <f t="shared" si="0"/>
        <v>957.91</v>
      </c>
      <c r="D47" s="1">
        <f t="shared" si="1"/>
        <v>266298.98</v>
      </c>
      <c r="E47" s="1">
        <v>9161.9699999999993</v>
      </c>
      <c r="F47" s="1">
        <f t="shared" si="2"/>
        <v>2290.4924999999998</v>
      </c>
      <c r="G47" s="1">
        <f t="shared" si="3"/>
        <v>2579094.5549999997</v>
      </c>
      <c r="H47" s="1">
        <v>4770.07</v>
      </c>
      <c r="I47" s="1">
        <f t="shared" si="4"/>
        <v>1192.5174999999999</v>
      </c>
      <c r="J47" s="1">
        <f t="shared" si="5"/>
        <v>521130.14749999996</v>
      </c>
      <c r="K47" s="1">
        <v>4466.87</v>
      </c>
      <c r="L47" s="1">
        <f t="shared" si="6"/>
        <v>1116.7175</v>
      </c>
      <c r="M47" s="1">
        <f t="shared" si="7"/>
        <v>1053064.6025</v>
      </c>
      <c r="N47" s="1">
        <v>342.3</v>
      </c>
      <c r="O47" s="1">
        <f t="shared" si="8"/>
        <v>85.575000000000003</v>
      </c>
      <c r="P47" s="1">
        <f t="shared" si="9"/>
        <v>79499.175000000003</v>
      </c>
      <c r="Q47" s="1">
        <v>29.52</v>
      </c>
      <c r="R47" s="1">
        <f t="shared" si="10"/>
        <v>7.38</v>
      </c>
      <c r="S47" s="1">
        <f t="shared" si="11"/>
        <v>1195.56</v>
      </c>
      <c r="T47" s="1">
        <v>537.48</v>
      </c>
      <c r="U47" s="1">
        <f t="shared" si="12"/>
        <v>134.37</v>
      </c>
      <c r="V47" s="1">
        <f t="shared" si="13"/>
        <v>3359.25</v>
      </c>
      <c r="W47" s="1">
        <v>1141.6400000000001</v>
      </c>
      <c r="X47" s="1">
        <f t="shared" si="14"/>
        <v>285.41000000000003</v>
      </c>
      <c r="Y47" s="1">
        <f t="shared" si="15"/>
        <v>856.23</v>
      </c>
      <c r="Z47" s="1">
        <v>373.04</v>
      </c>
      <c r="AA47" s="1">
        <f t="shared" si="16"/>
        <v>93.26</v>
      </c>
      <c r="AB47" s="1">
        <f t="shared" si="17"/>
        <v>279.78000000000003</v>
      </c>
      <c r="AC47" s="1">
        <v>26148.65</v>
      </c>
      <c r="AD47" s="1">
        <f t="shared" si="18"/>
        <v>6537.1625000000004</v>
      </c>
      <c r="AE47" s="1">
        <f t="shared" si="19"/>
        <v>372618.26250000001</v>
      </c>
      <c r="AF47" s="1">
        <v>1674.3</v>
      </c>
      <c r="AG47" s="1">
        <f t="shared" si="20"/>
        <v>418.57499999999999</v>
      </c>
      <c r="AH47" s="1">
        <f t="shared" si="21"/>
        <v>4185.75</v>
      </c>
      <c r="AI47" s="1">
        <v>2199.2199999999998</v>
      </c>
      <c r="AJ47" s="1">
        <f t="shared" si="22"/>
        <v>549.80499999999995</v>
      </c>
      <c r="AK47" s="5">
        <f t="shared" si="23"/>
        <v>9896.49</v>
      </c>
      <c r="AL47" s="6">
        <f t="shared" si="24"/>
        <v>13669.175000000001</v>
      </c>
      <c r="AM47" s="6">
        <f t="shared" si="24"/>
        <v>4891478.7825000007</v>
      </c>
      <c r="AN47" s="6">
        <f t="shared" si="25"/>
        <v>357.84740355581079</v>
      </c>
      <c r="AO47" s="6">
        <f t="shared" si="26"/>
        <v>0.35784740355581079</v>
      </c>
    </row>
    <row r="48" spans="1:41" ht="14" x14ac:dyDescent="0.15">
      <c r="A48" s="1" t="s">
        <v>45</v>
      </c>
      <c r="B48" s="1">
        <v>3783.64</v>
      </c>
      <c r="C48" s="1">
        <f t="shared" si="0"/>
        <v>945.91</v>
      </c>
      <c r="D48" s="1">
        <f t="shared" si="1"/>
        <v>262962.98</v>
      </c>
      <c r="E48" s="1">
        <v>9080</v>
      </c>
      <c r="F48" s="1">
        <f t="shared" si="2"/>
        <v>2270</v>
      </c>
      <c r="G48" s="1">
        <f t="shared" si="3"/>
        <v>2556020</v>
      </c>
      <c r="H48" s="1">
        <v>4557</v>
      </c>
      <c r="I48" s="1">
        <f t="shared" si="4"/>
        <v>1139.25</v>
      </c>
      <c r="J48" s="1">
        <f t="shared" si="5"/>
        <v>497852.25</v>
      </c>
      <c r="K48" s="1">
        <v>3866.97</v>
      </c>
      <c r="L48" s="1">
        <f t="shared" si="6"/>
        <v>966.74249999999995</v>
      </c>
      <c r="M48" s="1">
        <f t="shared" si="7"/>
        <v>911638.17749999999</v>
      </c>
      <c r="N48" s="1">
        <v>342.12</v>
      </c>
      <c r="O48" s="1">
        <f t="shared" si="8"/>
        <v>85.53</v>
      </c>
      <c r="P48" s="1">
        <f t="shared" si="9"/>
        <v>79457.37</v>
      </c>
      <c r="Q48" s="1">
        <v>29.37</v>
      </c>
      <c r="R48" s="1">
        <f t="shared" si="10"/>
        <v>7.3425000000000002</v>
      </c>
      <c r="S48" s="1">
        <f t="shared" si="11"/>
        <v>1189.4850000000001</v>
      </c>
      <c r="T48" s="1">
        <v>410.95</v>
      </c>
      <c r="U48" s="1">
        <f t="shared" si="12"/>
        <v>102.7375</v>
      </c>
      <c r="V48" s="1">
        <f t="shared" si="13"/>
        <v>2568.4375</v>
      </c>
      <c r="W48" s="1">
        <v>1167.54</v>
      </c>
      <c r="X48" s="1">
        <f t="shared" si="14"/>
        <v>291.88499999999999</v>
      </c>
      <c r="Y48" s="1">
        <f t="shared" si="15"/>
        <v>875.65499999999997</v>
      </c>
      <c r="Z48" s="1">
        <v>248.13</v>
      </c>
      <c r="AA48" s="1">
        <f t="shared" si="16"/>
        <v>62.032499999999999</v>
      </c>
      <c r="AB48" s="1">
        <f t="shared" si="17"/>
        <v>186.0975</v>
      </c>
      <c r="AC48" s="1">
        <v>28512.959999999999</v>
      </c>
      <c r="AD48" s="1">
        <f t="shared" si="18"/>
        <v>7128.24</v>
      </c>
      <c r="AE48" s="1">
        <f t="shared" si="19"/>
        <v>406309.68</v>
      </c>
      <c r="AF48" s="1">
        <v>1694.31</v>
      </c>
      <c r="AG48" s="1">
        <f t="shared" si="20"/>
        <v>423.57749999999999</v>
      </c>
      <c r="AH48" s="1">
        <f t="shared" si="21"/>
        <v>4235.7749999999996</v>
      </c>
      <c r="AI48" s="1">
        <v>2244.6</v>
      </c>
      <c r="AJ48" s="1">
        <f t="shared" si="22"/>
        <v>561.15</v>
      </c>
      <c r="AK48" s="5">
        <f t="shared" si="23"/>
        <v>10100.699999999999</v>
      </c>
      <c r="AL48" s="6">
        <f t="shared" si="24"/>
        <v>13984.397499999999</v>
      </c>
      <c r="AM48" s="6">
        <f t="shared" si="24"/>
        <v>4733396.6075000009</v>
      </c>
      <c r="AN48" s="6">
        <f t="shared" si="25"/>
        <v>338.47697818229216</v>
      </c>
      <c r="AO48" s="6">
        <f t="shared" si="26"/>
        <v>0.33847697818229217</v>
      </c>
    </row>
    <row r="49" spans="1:41" ht="14" x14ac:dyDescent="0.15">
      <c r="A49" s="1" t="s">
        <v>46</v>
      </c>
      <c r="B49" s="1">
        <v>3730.53</v>
      </c>
      <c r="C49" s="1">
        <f t="shared" si="0"/>
        <v>932.63250000000005</v>
      </c>
      <c r="D49" s="1">
        <f t="shared" si="1"/>
        <v>259271.83500000002</v>
      </c>
      <c r="E49" s="1">
        <v>8936.17</v>
      </c>
      <c r="F49" s="1">
        <f t="shared" si="2"/>
        <v>2234.0425</v>
      </c>
      <c r="G49" s="1">
        <f t="shared" si="3"/>
        <v>2515531.855</v>
      </c>
      <c r="H49" s="1">
        <v>4455.99</v>
      </c>
      <c r="I49" s="1">
        <f t="shared" si="4"/>
        <v>1113.9974999999999</v>
      </c>
      <c r="J49" s="1">
        <f t="shared" si="5"/>
        <v>486816.90749999997</v>
      </c>
      <c r="K49" s="1">
        <v>3370.62</v>
      </c>
      <c r="L49" s="1">
        <f t="shared" si="6"/>
        <v>842.65499999999997</v>
      </c>
      <c r="M49" s="1">
        <f t="shared" si="7"/>
        <v>794623.66499999992</v>
      </c>
      <c r="N49" s="1">
        <v>342.11</v>
      </c>
      <c r="O49" s="1">
        <f t="shared" si="8"/>
        <v>85.527500000000003</v>
      </c>
      <c r="P49" s="1">
        <f t="shared" si="9"/>
        <v>79455.047500000001</v>
      </c>
      <c r="Q49" s="1">
        <v>29.07</v>
      </c>
      <c r="R49" s="1">
        <f t="shared" si="10"/>
        <v>7.2675000000000001</v>
      </c>
      <c r="S49" s="1">
        <f t="shared" si="11"/>
        <v>1177.335</v>
      </c>
      <c r="T49" s="1">
        <v>151.29</v>
      </c>
      <c r="U49" s="1">
        <f t="shared" si="12"/>
        <v>37.822499999999998</v>
      </c>
      <c r="V49" s="1">
        <f t="shared" si="13"/>
        <v>945.5625</v>
      </c>
      <c r="W49" s="1">
        <v>1195.3399999999999</v>
      </c>
      <c r="X49" s="1">
        <f t="shared" si="14"/>
        <v>298.83499999999998</v>
      </c>
      <c r="Y49" s="1">
        <f t="shared" si="15"/>
        <v>896.50499999999988</v>
      </c>
      <c r="Z49" s="1">
        <v>62.84</v>
      </c>
      <c r="AA49" s="1">
        <f t="shared" si="16"/>
        <v>15.71</v>
      </c>
      <c r="AB49" s="1">
        <f t="shared" si="17"/>
        <v>47.13</v>
      </c>
      <c r="AC49" s="1">
        <v>30527.37</v>
      </c>
      <c r="AD49" s="1">
        <f t="shared" si="18"/>
        <v>7631.8424999999997</v>
      </c>
      <c r="AE49" s="1">
        <f t="shared" si="19"/>
        <v>435015.02249999996</v>
      </c>
      <c r="AF49" s="1">
        <v>1741.38</v>
      </c>
      <c r="AG49" s="1">
        <f t="shared" si="20"/>
        <v>435.34500000000003</v>
      </c>
      <c r="AH49" s="1">
        <f t="shared" si="21"/>
        <v>4353.4500000000007</v>
      </c>
      <c r="AI49" s="1">
        <v>2266.02</v>
      </c>
      <c r="AJ49" s="1">
        <f t="shared" si="22"/>
        <v>566.505</v>
      </c>
      <c r="AK49" s="5">
        <f t="shared" si="23"/>
        <v>10197.09</v>
      </c>
      <c r="AL49" s="6">
        <f t="shared" si="24"/>
        <v>14202.182499999999</v>
      </c>
      <c r="AM49" s="6">
        <f t="shared" si="24"/>
        <v>4588331.4050000003</v>
      </c>
      <c r="AN49" s="6">
        <f t="shared" si="25"/>
        <v>323.07227463102947</v>
      </c>
      <c r="AO49" s="6">
        <f t="shared" si="26"/>
        <v>0.3230722746310295</v>
      </c>
    </row>
    <row r="50" spans="1:41" ht="14" x14ac:dyDescent="0.15">
      <c r="A50" s="1" t="s">
        <v>47</v>
      </c>
      <c r="B50" s="1">
        <v>3704.08</v>
      </c>
      <c r="C50" s="1">
        <f t="shared" si="0"/>
        <v>926.02</v>
      </c>
      <c r="D50" s="1">
        <f t="shared" si="1"/>
        <v>257433.56</v>
      </c>
      <c r="E50" s="1">
        <v>8608.43</v>
      </c>
      <c r="F50" s="1">
        <f t="shared" si="2"/>
        <v>2152.1075000000001</v>
      </c>
      <c r="G50" s="1">
        <f t="shared" si="3"/>
        <v>2423273.0449999999</v>
      </c>
      <c r="H50" s="1">
        <v>4306.47</v>
      </c>
      <c r="I50" s="1">
        <f t="shared" si="4"/>
        <v>1076.6175000000001</v>
      </c>
      <c r="J50" s="1">
        <f t="shared" si="5"/>
        <v>470481.84750000003</v>
      </c>
      <c r="K50" s="1">
        <v>3174.02</v>
      </c>
      <c r="L50" s="1">
        <f t="shared" si="6"/>
        <v>793.505</v>
      </c>
      <c r="M50" s="1">
        <f t="shared" si="7"/>
        <v>748275.21499999997</v>
      </c>
      <c r="N50" s="1">
        <v>342.11</v>
      </c>
      <c r="O50" s="1">
        <f t="shared" si="8"/>
        <v>85.527500000000003</v>
      </c>
      <c r="P50" s="1">
        <f t="shared" si="9"/>
        <v>79455.047500000001</v>
      </c>
      <c r="Q50" s="1">
        <v>29.01</v>
      </c>
      <c r="R50" s="1">
        <f t="shared" si="10"/>
        <v>7.2525000000000004</v>
      </c>
      <c r="S50" s="1">
        <f t="shared" si="11"/>
        <v>1174.905</v>
      </c>
      <c r="T50" s="1">
        <v>48.66</v>
      </c>
      <c r="U50" s="1">
        <f t="shared" si="12"/>
        <v>12.164999999999999</v>
      </c>
      <c r="V50" s="1">
        <f t="shared" si="13"/>
        <v>304.125</v>
      </c>
      <c r="W50" s="1">
        <v>1204.1300000000001</v>
      </c>
      <c r="X50" s="1">
        <f t="shared" si="14"/>
        <v>301.03250000000003</v>
      </c>
      <c r="Y50" s="1">
        <f t="shared" si="15"/>
        <v>903.09750000000008</v>
      </c>
      <c r="Z50" s="1">
        <v>42.73</v>
      </c>
      <c r="AA50" s="1">
        <f t="shared" si="16"/>
        <v>10.682499999999999</v>
      </c>
      <c r="AB50" s="1">
        <f t="shared" si="17"/>
        <v>32.047499999999999</v>
      </c>
      <c r="AC50" s="1">
        <v>32346.97</v>
      </c>
      <c r="AD50" s="1">
        <f t="shared" si="18"/>
        <v>8086.7425000000003</v>
      </c>
      <c r="AE50" s="1">
        <f t="shared" si="19"/>
        <v>460944.32250000001</v>
      </c>
      <c r="AF50" s="1">
        <v>1760.86</v>
      </c>
      <c r="AG50" s="1">
        <f t="shared" si="20"/>
        <v>440.21499999999997</v>
      </c>
      <c r="AH50" s="1">
        <f t="shared" si="21"/>
        <v>4402.1499999999996</v>
      </c>
      <c r="AI50" s="1">
        <v>2438.44</v>
      </c>
      <c r="AJ50" s="1">
        <f t="shared" si="22"/>
        <v>609.61</v>
      </c>
      <c r="AK50" s="5">
        <f t="shared" si="23"/>
        <v>10972.98</v>
      </c>
      <c r="AL50" s="6">
        <f t="shared" si="24"/>
        <v>14501.477500000001</v>
      </c>
      <c r="AM50" s="6">
        <f t="shared" si="24"/>
        <v>4457652.3425000003</v>
      </c>
      <c r="AN50" s="6">
        <f t="shared" si="25"/>
        <v>307.39297719835787</v>
      </c>
      <c r="AO50" s="6">
        <f t="shared" si="26"/>
        <v>0.30739297719835784</v>
      </c>
    </row>
    <row r="51" spans="1:41" ht="14" x14ac:dyDescent="0.15">
      <c r="A51" s="1" t="s">
        <v>48</v>
      </c>
      <c r="B51" s="1">
        <v>3638.17</v>
      </c>
      <c r="C51" s="1">
        <f t="shared" si="0"/>
        <v>909.54250000000002</v>
      </c>
      <c r="D51" s="1">
        <f t="shared" si="1"/>
        <v>252852.815</v>
      </c>
      <c r="E51" s="1">
        <v>8092.64</v>
      </c>
      <c r="F51" s="1">
        <f t="shared" si="2"/>
        <v>2023.16</v>
      </c>
      <c r="G51" s="1">
        <f t="shared" si="3"/>
        <v>2278078.16</v>
      </c>
      <c r="H51" s="1">
        <v>3826.07</v>
      </c>
      <c r="I51" s="1">
        <f t="shared" si="4"/>
        <v>956.51750000000004</v>
      </c>
      <c r="J51" s="1">
        <f t="shared" si="5"/>
        <v>417998.14750000002</v>
      </c>
      <c r="K51" s="1">
        <v>3063.72</v>
      </c>
      <c r="L51" s="1">
        <f t="shared" si="6"/>
        <v>765.93</v>
      </c>
      <c r="M51" s="1">
        <f t="shared" si="7"/>
        <v>722271.99</v>
      </c>
      <c r="N51" s="1">
        <v>342.11</v>
      </c>
      <c r="O51" s="1">
        <f t="shared" si="8"/>
        <v>85.527500000000003</v>
      </c>
      <c r="P51" s="1">
        <f t="shared" si="9"/>
        <v>79455.047500000001</v>
      </c>
      <c r="Q51" s="1">
        <v>28.9</v>
      </c>
      <c r="R51" s="1">
        <f t="shared" si="10"/>
        <v>7.2249999999999996</v>
      </c>
      <c r="S51" s="1">
        <f t="shared" si="11"/>
        <v>1170.45</v>
      </c>
      <c r="T51" s="1">
        <v>13.14</v>
      </c>
      <c r="U51" s="1">
        <f t="shared" si="12"/>
        <v>3.2850000000000001</v>
      </c>
      <c r="V51" s="1">
        <f t="shared" si="13"/>
        <v>82.125</v>
      </c>
      <c r="W51" s="1">
        <v>1230.32</v>
      </c>
      <c r="X51" s="1">
        <f t="shared" si="14"/>
        <v>307.58</v>
      </c>
      <c r="Y51" s="1">
        <f t="shared" si="15"/>
        <v>922.74</v>
      </c>
      <c r="Z51" s="1">
        <v>37.54</v>
      </c>
      <c r="AA51" s="1">
        <f t="shared" si="16"/>
        <v>9.3849999999999998</v>
      </c>
      <c r="AB51" s="1">
        <f t="shared" si="17"/>
        <v>28.155000000000001</v>
      </c>
      <c r="AC51" s="1">
        <v>34075.74</v>
      </c>
      <c r="AD51" s="1">
        <f t="shared" si="18"/>
        <v>8518.9349999999995</v>
      </c>
      <c r="AE51" s="1">
        <f t="shared" si="19"/>
        <v>485579.29499999998</v>
      </c>
      <c r="AF51" s="1">
        <v>1922.39</v>
      </c>
      <c r="AG51" s="1">
        <f t="shared" si="20"/>
        <v>480.59750000000003</v>
      </c>
      <c r="AH51" s="1">
        <f t="shared" si="21"/>
        <v>4805.9750000000004</v>
      </c>
      <c r="AI51" s="1">
        <v>2767.12</v>
      </c>
      <c r="AJ51" s="1">
        <f t="shared" si="22"/>
        <v>691.78</v>
      </c>
      <c r="AK51" s="5">
        <f t="shared" si="23"/>
        <v>12452.039999999999</v>
      </c>
      <c r="AL51" s="6">
        <f t="shared" si="24"/>
        <v>14759.465000000002</v>
      </c>
      <c r="AM51" s="6">
        <f t="shared" si="24"/>
        <v>4255696.9399999995</v>
      </c>
      <c r="AN51" s="6">
        <f t="shared" si="25"/>
        <v>288.33680218083776</v>
      </c>
      <c r="AO51" s="6">
        <f t="shared" si="26"/>
        <v>0.28833680218083779</v>
      </c>
    </row>
    <row r="52" spans="1:41" ht="14" x14ac:dyDescent="0.15">
      <c r="A52" s="1" t="s">
        <v>49</v>
      </c>
      <c r="B52" s="1">
        <v>3605.69</v>
      </c>
      <c r="C52" s="1">
        <f t="shared" si="0"/>
        <v>901.42250000000001</v>
      </c>
      <c r="D52" s="1">
        <f t="shared" si="1"/>
        <v>250595.45500000002</v>
      </c>
      <c r="E52" s="1">
        <v>7822.54</v>
      </c>
      <c r="F52" s="1">
        <f t="shared" si="2"/>
        <v>1955.635</v>
      </c>
      <c r="G52" s="1">
        <f t="shared" si="3"/>
        <v>2202045.0099999998</v>
      </c>
      <c r="H52" s="1">
        <v>3673.93</v>
      </c>
      <c r="I52" s="1">
        <f t="shared" si="4"/>
        <v>918.48249999999996</v>
      </c>
      <c r="J52" s="1">
        <f t="shared" si="5"/>
        <v>401376.85249999998</v>
      </c>
      <c r="K52" s="1">
        <v>2732.03</v>
      </c>
      <c r="L52" s="1">
        <f t="shared" si="6"/>
        <v>683.00750000000005</v>
      </c>
      <c r="M52" s="1">
        <f t="shared" si="7"/>
        <v>644076.07250000001</v>
      </c>
      <c r="N52" s="1">
        <v>342.14</v>
      </c>
      <c r="O52" s="1">
        <f t="shared" si="8"/>
        <v>85.534999999999997</v>
      </c>
      <c r="P52" s="1">
        <f t="shared" si="9"/>
        <v>79462.014999999999</v>
      </c>
      <c r="Q52" s="1">
        <v>28.97</v>
      </c>
      <c r="R52" s="1">
        <f t="shared" si="10"/>
        <v>7.2424999999999997</v>
      </c>
      <c r="S52" s="1">
        <f t="shared" si="11"/>
        <v>1173.2849999999999</v>
      </c>
      <c r="T52" s="1">
        <v>0.63</v>
      </c>
      <c r="U52" s="1">
        <f t="shared" si="12"/>
        <v>0.1575</v>
      </c>
      <c r="V52" s="1">
        <f t="shared" si="13"/>
        <v>3.9375</v>
      </c>
      <c r="W52" s="1">
        <v>1249.96</v>
      </c>
      <c r="X52" s="1">
        <f t="shared" si="14"/>
        <v>312.49</v>
      </c>
      <c r="Y52" s="1">
        <f t="shared" si="15"/>
        <v>937.47</v>
      </c>
      <c r="Z52" s="1">
        <v>53.05</v>
      </c>
      <c r="AA52" s="1">
        <f t="shared" si="16"/>
        <v>13.262499999999999</v>
      </c>
      <c r="AB52" s="1">
        <f t="shared" si="17"/>
        <v>39.787499999999994</v>
      </c>
      <c r="AC52" s="1">
        <v>35589.879999999997</v>
      </c>
      <c r="AD52" s="1">
        <f t="shared" si="18"/>
        <v>8897.4699999999993</v>
      </c>
      <c r="AE52" s="1">
        <f t="shared" si="19"/>
        <v>507155.79</v>
      </c>
      <c r="AF52" s="1">
        <v>1956.25</v>
      </c>
      <c r="AG52" s="1">
        <f t="shared" si="20"/>
        <v>489.0625</v>
      </c>
      <c r="AH52" s="1">
        <f t="shared" si="21"/>
        <v>4890.625</v>
      </c>
      <c r="AI52" s="1">
        <v>3007.5</v>
      </c>
      <c r="AJ52" s="1">
        <f t="shared" si="22"/>
        <v>751.875</v>
      </c>
      <c r="AK52" s="5">
        <f t="shared" si="23"/>
        <v>13533.75</v>
      </c>
      <c r="AL52" s="6">
        <f t="shared" si="24"/>
        <v>15015.642499999998</v>
      </c>
      <c r="AM52" s="6">
        <f t="shared" si="24"/>
        <v>4105290.0500000003</v>
      </c>
      <c r="AN52" s="6">
        <f t="shared" si="25"/>
        <v>273.40089177003256</v>
      </c>
      <c r="AO52" s="6">
        <f t="shared" si="26"/>
        <v>0.27340089177003257</v>
      </c>
    </row>
    <row r="53" spans="1:41" ht="14" x14ac:dyDescent="0.15">
      <c r="A53" s="1" t="s">
        <v>50</v>
      </c>
      <c r="B53" s="1">
        <v>3590.98</v>
      </c>
      <c r="C53" s="1">
        <f t="shared" si="0"/>
        <v>897.745</v>
      </c>
      <c r="D53" s="1">
        <f t="shared" si="1"/>
        <v>249573.11000000002</v>
      </c>
      <c r="E53" s="1">
        <v>7446.56</v>
      </c>
      <c r="F53" s="1">
        <f t="shared" si="2"/>
        <v>1861.64</v>
      </c>
      <c r="G53" s="1">
        <f t="shared" si="3"/>
        <v>2096206.6400000001</v>
      </c>
      <c r="H53" s="1">
        <v>3686.8</v>
      </c>
      <c r="I53" s="1">
        <f t="shared" si="4"/>
        <v>921.7</v>
      </c>
      <c r="J53" s="1">
        <f t="shared" si="5"/>
        <v>402782.9</v>
      </c>
      <c r="K53" s="1">
        <v>2480.59</v>
      </c>
      <c r="L53" s="1">
        <f t="shared" si="6"/>
        <v>620.14750000000004</v>
      </c>
      <c r="M53" s="1">
        <f t="shared" si="7"/>
        <v>584799.09250000003</v>
      </c>
      <c r="N53" s="1">
        <v>342.17</v>
      </c>
      <c r="O53" s="1">
        <f t="shared" si="8"/>
        <v>85.542500000000004</v>
      </c>
      <c r="P53" s="1">
        <f t="shared" si="9"/>
        <v>79468.982499999998</v>
      </c>
      <c r="Q53" s="1">
        <v>29.02</v>
      </c>
      <c r="R53" s="1">
        <f t="shared" si="10"/>
        <v>7.2549999999999999</v>
      </c>
      <c r="S53" s="1">
        <f t="shared" si="11"/>
        <v>1175.31</v>
      </c>
      <c r="T53" s="1">
        <v>5.97</v>
      </c>
      <c r="U53" s="1">
        <f t="shared" si="12"/>
        <v>1.4924999999999999</v>
      </c>
      <c r="V53" s="1">
        <f t="shared" si="13"/>
        <v>37.3125</v>
      </c>
      <c r="W53" s="1">
        <v>1246.5899999999999</v>
      </c>
      <c r="X53" s="1">
        <f t="shared" si="14"/>
        <v>311.64749999999998</v>
      </c>
      <c r="Y53" s="1">
        <f t="shared" si="15"/>
        <v>934.94249999999988</v>
      </c>
      <c r="Z53" s="1">
        <v>101.84</v>
      </c>
      <c r="AA53" s="1">
        <f t="shared" si="16"/>
        <v>25.46</v>
      </c>
      <c r="AB53" s="1">
        <f t="shared" si="17"/>
        <v>76.38</v>
      </c>
      <c r="AC53" s="1">
        <v>36752.089999999997</v>
      </c>
      <c r="AD53" s="1">
        <f t="shared" si="18"/>
        <v>9188.0224999999991</v>
      </c>
      <c r="AE53" s="1">
        <f t="shared" si="19"/>
        <v>523717.28249999997</v>
      </c>
      <c r="AF53" s="1">
        <v>2011.99</v>
      </c>
      <c r="AG53" s="1">
        <f t="shared" si="20"/>
        <v>502.9975</v>
      </c>
      <c r="AH53" s="1">
        <f t="shared" si="21"/>
        <v>5029.9750000000004</v>
      </c>
      <c r="AI53" s="1">
        <v>3242.95</v>
      </c>
      <c r="AJ53" s="1">
        <f t="shared" si="22"/>
        <v>810.73749999999995</v>
      </c>
      <c r="AK53" s="5">
        <f t="shared" si="23"/>
        <v>14593.275</v>
      </c>
      <c r="AL53" s="6">
        <f t="shared" si="24"/>
        <v>15234.387499999999</v>
      </c>
      <c r="AM53" s="6">
        <f t="shared" si="24"/>
        <v>3958395.2024999997</v>
      </c>
      <c r="AN53" s="6">
        <f t="shared" si="25"/>
        <v>259.83290778838335</v>
      </c>
      <c r="AO53" s="6">
        <f t="shared" si="26"/>
        <v>0.25983290778838336</v>
      </c>
    </row>
    <row r="54" spans="1:41" ht="14" x14ac:dyDescent="0.15">
      <c r="A54" s="1" t="s">
        <v>51</v>
      </c>
      <c r="B54" s="1">
        <v>3583.36</v>
      </c>
      <c r="C54" s="1">
        <f t="shared" si="0"/>
        <v>895.84</v>
      </c>
      <c r="D54" s="1">
        <f t="shared" si="1"/>
        <v>249043.52000000002</v>
      </c>
      <c r="E54" s="1">
        <v>6642.97</v>
      </c>
      <c r="F54" s="1">
        <f t="shared" si="2"/>
        <v>1660.7425000000001</v>
      </c>
      <c r="G54" s="1">
        <f t="shared" si="3"/>
        <v>1869996.0550000002</v>
      </c>
      <c r="H54" s="1">
        <v>3594.53</v>
      </c>
      <c r="I54" s="1">
        <f t="shared" si="4"/>
        <v>898.63250000000005</v>
      </c>
      <c r="J54" s="1">
        <f t="shared" si="5"/>
        <v>392702.40250000003</v>
      </c>
      <c r="K54" s="1">
        <v>2460.7199999999998</v>
      </c>
      <c r="L54" s="1">
        <f t="shared" si="6"/>
        <v>615.17999999999995</v>
      </c>
      <c r="M54" s="1">
        <f t="shared" si="7"/>
        <v>580114.74</v>
      </c>
      <c r="N54" s="1">
        <v>342.17</v>
      </c>
      <c r="O54" s="1">
        <f t="shared" si="8"/>
        <v>85.542500000000004</v>
      </c>
      <c r="P54" s="1">
        <f t="shared" si="9"/>
        <v>79468.982499999998</v>
      </c>
      <c r="Q54" s="1">
        <v>29.25</v>
      </c>
      <c r="R54" s="1">
        <f t="shared" si="10"/>
        <v>7.3125</v>
      </c>
      <c r="S54" s="1">
        <f t="shared" si="11"/>
        <v>1184.625</v>
      </c>
      <c r="T54" s="1">
        <v>11</v>
      </c>
      <c r="U54" s="1">
        <f t="shared" si="12"/>
        <v>2.75</v>
      </c>
      <c r="V54" s="1">
        <f t="shared" si="13"/>
        <v>68.75</v>
      </c>
      <c r="W54" s="1">
        <v>1263.27</v>
      </c>
      <c r="X54" s="1">
        <f t="shared" si="14"/>
        <v>315.8175</v>
      </c>
      <c r="Y54" s="1">
        <f t="shared" si="15"/>
        <v>947.45249999999999</v>
      </c>
      <c r="Z54" s="1">
        <v>137.18</v>
      </c>
      <c r="AA54" s="1">
        <f t="shared" si="16"/>
        <v>34.295000000000002</v>
      </c>
      <c r="AB54" s="1">
        <f t="shared" si="17"/>
        <v>102.88500000000001</v>
      </c>
      <c r="AC54" s="1">
        <v>37466.839999999997</v>
      </c>
      <c r="AD54" s="1">
        <f t="shared" si="18"/>
        <v>9366.7099999999991</v>
      </c>
      <c r="AE54" s="1">
        <f t="shared" si="19"/>
        <v>533902.47</v>
      </c>
      <c r="AF54" s="1">
        <v>2027.31</v>
      </c>
      <c r="AG54" s="1">
        <f t="shared" si="20"/>
        <v>506.82749999999999</v>
      </c>
      <c r="AH54" s="1">
        <f t="shared" si="21"/>
        <v>5068.2749999999996</v>
      </c>
      <c r="AI54" s="1">
        <v>3440.77</v>
      </c>
      <c r="AJ54" s="1">
        <f t="shared" si="22"/>
        <v>860.1925</v>
      </c>
      <c r="AK54" s="5">
        <f t="shared" si="23"/>
        <v>15483.465</v>
      </c>
      <c r="AL54" s="6">
        <f t="shared" si="24"/>
        <v>15249.842499999997</v>
      </c>
      <c r="AM54" s="6">
        <f t="shared" si="24"/>
        <v>3728083.6225000001</v>
      </c>
      <c r="AN54" s="6">
        <f t="shared" si="25"/>
        <v>244.46702465943505</v>
      </c>
      <c r="AO54" s="6">
        <f t="shared" si="26"/>
        <v>0.24446702465943507</v>
      </c>
    </row>
    <row r="55" spans="1:41" ht="14" x14ac:dyDescent="0.15">
      <c r="A55" s="1" t="s">
        <v>52</v>
      </c>
      <c r="B55" s="1">
        <v>3535.75</v>
      </c>
      <c r="C55" s="1">
        <f t="shared" si="0"/>
        <v>883.9375</v>
      </c>
      <c r="D55" s="1">
        <f t="shared" si="1"/>
        <v>245734.625</v>
      </c>
      <c r="E55" s="1">
        <v>5399.36</v>
      </c>
      <c r="F55" s="1">
        <f t="shared" si="2"/>
        <v>1349.84</v>
      </c>
      <c r="G55" s="1">
        <f t="shared" si="3"/>
        <v>1519919.8399999999</v>
      </c>
      <c r="H55" s="1">
        <v>3217.08</v>
      </c>
      <c r="I55" s="1">
        <f t="shared" si="4"/>
        <v>804.27</v>
      </c>
      <c r="J55" s="1">
        <f t="shared" si="5"/>
        <v>351465.99</v>
      </c>
      <c r="K55" s="1">
        <v>2295.96</v>
      </c>
      <c r="L55" s="1">
        <f t="shared" si="6"/>
        <v>573.99</v>
      </c>
      <c r="M55" s="1">
        <f t="shared" si="7"/>
        <v>541272.57000000007</v>
      </c>
      <c r="N55" s="1">
        <v>342.56</v>
      </c>
      <c r="O55" s="1">
        <f t="shared" si="8"/>
        <v>85.64</v>
      </c>
      <c r="P55" s="1">
        <f t="shared" si="9"/>
        <v>79559.56</v>
      </c>
      <c r="Q55" s="1">
        <v>29.36</v>
      </c>
      <c r="R55" s="1">
        <f t="shared" si="10"/>
        <v>7.34</v>
      </c>
      <c r="S55" s="1">
        <f t="shared" si="11"/>
        <v>1189.08</v>
      </c>
      <c r="T55" s="1">
        <v>14.88</v>
      </c>
      <c r="U55" s="1">
        <f t="shared" si="12"/>
        <v>3.72</v>
      </c>
      <c r="V55" s="1">
        <f t="shared" si="13"/>
        <v>93</v>
      </c>
      <c r="W55" s="1">
        <v>1285.58</v>
      </c>
      <c r="X55" s="1">
        <f t="shared" si="14"/>
        <v>321.39499999999998</v>
      </c>
      <c r="Y55" s="1">
        <f t="shared" si="15"/>
        <v>964.18499999999995</v>
      </c>
      <c r="Z55" s="1">
        <v>184.65</v>
      </c>
      <c r="AA55" s="1">
        <f t="shared" si="16"/>
        <v>46.162500000000001</v>
      </c>
      <c r="AB55" s="1">
        <f t="shared" si="17"/>
        <v>138.48750000000001</v>
      </c>
      <c r="AC55" s="1">
        <v>37992.050000000003</v>
      </c>
      <c r="AD55" s="1">
        <f t="shared" si="18"/>
        <v>9498.0125000000007</v>
      </c>
      <c r="AE55" s="1">
        <f t="shared" si="19"/>
        <v>541386.71250000002</v>
      </c>
      <c r="AF55" s="1">
        <v>1875.59</v>
      </c>
      <c r="AG55" s="1">
        <f t="shared" si="20"/>
        <v>468.89749999999998</v>
      </c>
      <c r="AH55" s="1">
        <f t="shared" si="21"/>
        <v>4688.9749999999995</v>
      </c>
      <c r="AI55" s="1">
        <v>3796.79</v>
      </c>
      <c r="AJ55" s="1">
        <f t="shared" si="22"/>
        <v>949.19749999999999</v>
      </c>
      <c r="AK55" s="5">
        <f t="shared" si="23"/>
        <v>17085.555</v>
      </c>
      <c r="AL55" s="6">
        <f t="shared" si="24"/>
        <v>14992.4025</v>
      </c>
      <c r="AM55" s="6">
        <f t="shared" si="24"/>
        <v>3303498.5800000005</v>
      </c>
      <c r="AN55" s="6">
        <f t="shared" si="25"/>
        <v>220.34484332981324</v>
      </c>
      <c r="AO55" s="6">
        <f t="shared" si="26"/>
        <v>0.22034484332981324</v>
      </c>
    </row>
    <row r="56" spans="1:41" ht="14" x14ac:dyDescent="0.15">
      <c r="A56" s="1" t="s">
        <v>53</v>
      </c>
      <c r="B56" s="1">
        <v>3540.88</v>
      </c>
      <c r="C56" s="1">
        <f t="shared" si="0"/>
        <v>885.22</v>
      </c>
      <c r="D56" s="1">
        <f t="shared" si="1"/>
        <v>246091.16</v>
      </c>
      <c r="E56" s="1">
        <v>5033.37</v>
      </c>
      <c r="F56" s="1">
        <f t="shared" si="2"/>
        <v>1258.3425</v>
      </c>
      <c r="G56" s="1">
        <f t="shared" si="3"/>
        <v>1416893.655</v>
      </c>
      <c r="H56" s="1">
        <v>3184.81</v>
      </c>
      <c r="I56" s="1">
        <f t="shared" si="4"/>
        <v>796.20249999999999</v>
      </c>
      <c r="J56" s="1">
        <f t="shared" si="5"/>
        <v>347940.49249999999</v>
      </c>
      <c r="K56" s="1">
        <v>2175.67</v>
      </c>
      <c r="L56" s="1">
        <f t="shared" si="6"/>
        <v>543.91750000000002</v>
      </c>
      <c r="M56" s="1">
        <f t="shared" si="7"/>
        <v>512914.20250000001</v>
      </c>
      <c r="N56" s="1">
        <v>342.17</v>
      </c>
      <c r="O56" s="1">
        <f t="shared" si="8"/>
        <v>85.542500000000004</v>
      </c>
      <c r="P56" s="1">
        <f t="shared" si="9"/>
        <v>79468.982499999998</v>
      </c>
      <c r="Q56" s="1">
        <v>29.27</v>
      </c>
      <c r="R56" s="1">
        <f t="shared" si="10"/>
        <v>7.3174999999999999</v>
      </c>
      <c r="S56" s="1">
        <f t="shared" si="11"/>
        <v>1185.4349999999999</v>
      </c>
      <c r="T56" s="1">
        <v>0.73</v>
      </c>
      <c r="U56" s="1">
        <f t="shared" si="12"/>
        <v>0.1825</v>
      </c>
      <c r="V56" s="1">
        <f t="shared" si="13"/>
        <v>4.5625</v>
      </c>
      <c r="W56" s="1">
        <v>1274.5899999999999</v>
      </c>
      <c r="X56" s="1">
        <f t="shared" si="14"/>
        <v>318.64749999999998</v>
      </c>
      <c r="Y56" s="1">
        <f t="shared" si="15"/>
        <v>955.94249999999988</v>
      </c>
      <c r="Z56" s="1">
        <v>184.7</v>
      </c>
      <c r="AA56" s="1">
        <f t="shared" si="16"/>
        <v>46.174999999999997</v>
      </c>
      <c r="AB56" s="1">
        <f t="shared" si="17"/>
        <v>138.52499999999998</v>
      </c>
      <c r="AC56" s="1">
        <v>38254.910000000003</v>
      </c>
      <c r="AD56" s="1">
        <f t="shared" si="18"/>
        <v>9563.7275000000009</v>
      </c>
      <c r="AE56" s="1">
        <f t="shared" si="19"/>
        <v>545132.46750000003</v>
      </c>
      <c r="AF56" s="1">
        <v>1977.14</v>
      </c>
      <c r="AG56" s="1">
        <f t="shared" si="20"/>
        <v>494.28500000000003</v>
      </c>
      <c r="AH56" s="1">
        <f t="shared" si="21"/>
        <v>4942.8500000000004</v>
      </c>
      <c r="AI56" s="1">
        <v>4208.76</v>
      </c>
      <c r="AJ56" s="1">
        <f t="shared" si="22"/>
        <v>1052.19</v>
      </c>
      <c r="AK56" s="5">
        <f t="shared" si="23"/>
        <v>18939.420000000002</v>
      </c>
      <c r="AL56" s="6">
        <f t="shared" si="24"/>
        <v>15051.750000000002</v>
      </c>
      <c r="AM56" s="6">
        <f t="shared" si="24"/>
        <v>3174607.6949999998</v>
      </c>
      <c r="AN56" s="6">
        <f t="shared" si="25"/>
        <v>210.9128636205092</v>
      </c>
      <c r="AO56" s="6">
        <f t="shared" si="26"/>
        <v>0.21091286362050921</v>
      </c>
    </row>
    <row r="57" spans="1:41" ht="14" x14ac:dyDescent="0.15">
      <c r="A57" s="1" t="s">
        <v>54</v>
      </c>
      <c r="B57" s="1">
        <v>3528.08</v>
      </c>
      <c r="C57" s="1">
        <f t="shared" si="0"/>
        <v>882.02</v>
      </c>
      <c r="D57" s="1">
        <f t="shared" si="1"/>
        <v>245201.56</v>
      </c>
      <c r="E57" s="1">
        <v>5089.87</v>
      </c>
      <c r="F57" s="1">
        <f t="shared" si="2"/>
        <v>1272.4675</v>
      </c>
      <c r="G57" s="1">
        <f t="shared" si="3"/>
        <v>1432798.405</v>
      </c>
      <c r="H57" s="1">
        <v>3132.47</v>
      </c>
      <c r="I57" s="1">
        <f t="shared" si="4"/>
        <v>783.11749999999995</v>
      </c>
      <c r="J57" s="1">
        <f t="shared" si="5"/>
        <v>342222.34749999997</v>
      </c>
      <c r="K57" s="1">
        <v>2123.23</v>
      </c>
      <c r="L57" s="1">
        <f t="shared" si="6"/>
        <v>530.8075</v>
      </c>
      <c r="M57" s="1">
        <f t="shared" si="7"/>
        <v>500551.47250000003</v>
      </c>
      <c r="N57" s="1">
        <v>342.17</v>
      </c>
      <c r="O57" s="1">
        <f t="shared" si="8"/>
        <v>85.542500000000004</v>
      </c>
      <c r="P57" s="1">
        <f t="shared" si="9"/>
        <v>79468.982499999998</v>
      </c>
      <c r="Q57" s="1">
        <v>29.23</v>
      </c>
      <c r="R57" s="1">
        <f t="shared" si="10"/>
        <v>7.3075000000000001</v>
      </c>
      <c r="S57" s="1">
        <f t="shared" si="11"/>
        <v>1183.8150000000001</v>
      </c>
      <c r="T57" s="1">
        <v>1.71</v>
      </c>
      <c r="U57" s="1">
        <f t="shared" si="12"/>
        <v>0.42749999999999999</v>
      </c>
      <c r="V57" s="1">
        <f t="shared" si="13"/>
        <v>10.6875</v>
      </c>
      <c r="W57" s="1">
        <v>1213.92</v>
      </c>
      <c r="X57" s="1">
        <f t="shared" si="14"/>
        <v>303.48</v>
      </c>
      <c r="Y57" s="1">
        <f t="shared" si="15"/>
        <v>910.44</v>
      </c>
      <c r="Z57" s="1">
        <v>197.55</v>
      </c>
      <c r="AA57" s="1">
        <f t="shared" si="16"/>
        <v>49.387500000000003</v>
      </c>
      <c r="AB57" s="1">
        <f t="shared" si="17"/>
        <v>148.16250000000002</v>
      </c>
      <c r="AC57" s="1">
        <v>38274.839999999997</v>
      </c>
      <c r="AD57" s="1">
        <f t="shared" si="18"/>
        <v>9568.7099999999991</v>
      </c>
      <c r="AE57" s="1">
        <f t="shared" si="19"/>
        <v>545416.47</v>
      </c>
      <c r="AF57" s="1">
        <v>2126.12</v>
      </c>
      <c r="AG57" s="1">
        <f t="shared" si="20"/>
        <v>531.53</v>
      </c>
      <c r="AH57" s="1">
        <f t="shared" si="21"/>
        <v>5315.2999999999993</v>
      </c>
      <c r="AI57" s="1">
        <v>4450.4799999999996</v>
      </c>
      <c r="AJ57" s="1">
        <f t="shared" si="22"/>
        <v>1112.6199999999999</v>
      </c>
      <c r="AK57" s="5">
        <f t="shared" si="23"/>
        <v>20027.159999999996</v>
      </c>
      <c r="AL57" s="6">
        <f t="shared" si="24"/>
        <v>15127.4175</v>
      </c>
      <c r="AM57" s="6">
        <f t="shared" si="24"/>
        <v>3173254.8025000002</v>
      </c>
      <c r="AN57" s="6">
        <f t="shared" si="25"/>
        <v>209.76844213495136</v>
      </c>
      <c r="AO57" s="6">
        <f t="shared" si="26"/>
        <v>0.20976844213495136</v>
      </c>
    </row>
    <row r="58" spans="1:41" ht="14" x14ac:dyDescent="0.15">
      <c r="A58" s="1" t="s">
        <v>55</v>
      </c>
      <c r="B58" s="1">
        <v>3507.11</v>
      </c>
      <c r="C58" s="1">
        <f t="shared" si="0"/>
        <v>876.77750000000003</v>
      </c>
      <c r="D58" s="1">
        <f t="shared" si="1"/>
        <v>243744.14500000002</v>
      </c>
      <c r="E58" s="1">
        <v>5058.82</v>
      </c>
      <c r="F58" s="1">
        <f t="shared" si="2"/>
        <v>1264.7049999999999</v>
      </c>
      <c r="G58" s="1">
        <f t="shared" si="3"/>
        <v>1424057.8299999998</v>
      </c>
      <c r="H58" s="1">
        <v>3161.97</v>
      </c>
      <c r="I58" s="1">
        <f t="shared" si="4"/>
        <v>790.49249999999995</v>
      </c>
      <c r="J58" s="1">
        <f t="shared" si="5"/>
        <v>345445.22249999997</v>
      </c>
      <c r="K58" s="1">
        <v>2068.88</v>
      </c>
      <c r="L58" s="1">
        <f t="shared" si="6"/>
        <v>517.22</v>
      </c>
      <c r="M58" s="1">
        <f t="shared" si="7"/>
        <v>487738.46</v>
      </c>
      <c r="N58" s="1">
        <v>342.17</v>
      </c>
      <c r="O58" s="1">
        <f t="shared" si="8"/>
        <v>85.542500000000004</v>
      </c>
      <c r="P58" s="1">
        <f t="shared" si="9"/>
        <v>79468.982499999998</v>
      </c>
      <c r="Q58" s="1">
        <v>29.2</v>
      </c>
      <c r="R58" s="1">
        <f t="shared" si="10"/>
        <v>7.3</v>
      </c>
      <c r="S58" s="1">
        <f t="shared" si="11"/>
        <v>1182.5999999999999</v>
      </c>
      <c r="T58" s="1">
        <v>0.51</v>
      </c>
      <c r="U58" s="1">
        <f t="shared" si="12"/>
        <v>0.1275</v>
      </c>
      <c r="V58" s="1">
        <f t="shared" si="13"/>
        <v>3.1875</v>
      </c>
      <c r="W58" s="1">
        <v>1169.53</v>
      </c>
      <c r="X58" s="1">
        <f t="shared" si="14"/>
        <v>292.38249999999999</v>
      </c>
      <c r="Y58" s="1">
        <f t="shared" si="15"/>
        <v>877.14750000000004</v>
      </c>
      <c r="Z58" s="1">
        <v>176.08</v>
      </c>
      <c r="AA58" s="1">
        <f t="shared" si="16"/>
        <v>44.02</v>
      </c>
      <c r="AB58" s="1">
        <f t="shared" si="17"/>
        <v>132.06</v>
      </c>
      <c r="AC58" s="1">
        <v>37905.24</v>
      </c>
      <c r="AD58" s="1">
        <f t="shared" si="18"/>
        <v>9476.31</v>
      </c>
      <c r="AE58" s="1">
        <f t="shared" si="19"/>
        <v>540149.66999999993</v>
      </c>
      <c r="AF58" s="1">
        <v>2176.5700000000002</v>
      </c>
      <c r="AG58" s="1">
        <f t="shared" si="20"/>
        <v>544.14250000000004</v>
      </c>
      <c r="AH58" s="1">
        <f t="shared" si="21"/>
        <v>5441.4250000000002</v>
      </c>
      <c r="AI58" s="1">
        <v>4676.8900000000003</v>
      </c>
      <c r="AJ58" s="1">
        <f t="shared" si="22"/>
        <v>1169.2225000000001</v>
      </c>
      <c r="AK58" s="5">
        <f t="shared" si="23"/>
        <v>21046.005000000001</v>
      </c>
      <c r="AL58" s="6">
        <f t="shared" si="24"/>
        <v>15068.242499999998</v>
      </c>
      <c r="AM58" s="6">
        <f t="shared" si="24"/>
        <v>3149286.7349999994</v>
      </c>
      <c r="AN58" s="6">
        <f t="shared" si="25"/>
        <v>209.00159623791558</v>
      </c>
      <c r="AO58" s="6">
        <f t="shared" si="26"/>
        <v>0.20900159623791559</v>
      </c>
    </row>
    <row r="59" spans="1:41" ht="14" x14ac:dyDescent="0.15">
      <c r="A59" s="1" t="s">
        <v>56</v>
      </c>
      <c r="B59" s="1">
        <v>3488.38</v>
      </c>
      <c r="C59" s="1">
        <f t="shared" si="0"/>
        <v>872.09500000000003</v>
      </c>
      <c r="D59" s="1">
        <f t="shared" si="1"/>
        <v>242442.41</v>
      </c>
      <c r="E59" s="1">
        <v>5078.07</v>
      </c>
      <c r="F59" s="1">
        <f t="shared" si="2"/>
        <v>1269.5174999999999</v>
      </c>
      <c r="G59" s="1">
        <f t="shared" si="3"/>
        <v>1429476.7049999998</v>
      </c>
      <c r="H59" s="1">
        <v>3101.25</v>
      </c>
      <c r="I59" s="1">
        <f t="shared" si="4"/>
        <v>775.3125</v>
      </c>
      <c r="J59" s="1">
        <f t="shared" si="5"/>
        <v>338811.5625</v>
      </c>
      <c r="K59" s="1">
        <v>2004.26</v>
      </c>
      <c r="L59" s="1">
        <f t="shared" si="6"/>
        <v>501.065</v>
      </c>
      <c r="M59" s="1">
        <f t="shared" si="7"/>
        <v>472504.29499999998</v>
      </c>
      <c r="N59" s="1">
        <v>342.17</v>
      </c>
      <c r="O59" s="1">
        <f t="shared" si="8"/>
        <v>85.542500000000004</v>
      </c>
      <c r="P59" s="1">
        <f t="shared" si="9"/>
        <v>79468.982499999998</v>
      </c>
      <c r="Q59" s="1">
        <v>29.14</v>
      </c>
      <c r="R59" s="1">
        <f t="shared" si="10"/>
        <v>7.2850000000000001</v>
      </c>
      <c r="S59" s="1">
        <f t="shared" si="11"/>
        <v>1180.17</v>
      </c>
      <c r="T59" s="1">
        <v>0.47</v>
      </c>
      <c r="U59" s="1">
        <f t="shared" si="12"/>
        <v>0.11749999999999999</v>
      </c>
      <c r="V59" s="1">
        <f t="shared" si="13"/>
        <v>2.9375</v>
      </c>
      <c r="W59" s="1">
        <v>1158</v>
      </c>
      <c r="X59" s="1">
        <f t="shared" si="14"/>
        <v>289.5</v>
      </c>
      <c r="Y59" s="1">
        <f t="shared" si="15"/>
        <v>868.5</v>
      </c>
      <c r="Z59" s="1">
        <v>142.38</v>
      </c>
      <c r="AA59" s="1">
        <f t="shared" si="16"/>
        <v>35.594999999999999</v>
      </c>
      <c r="AB59" s="1">
        <f t="shared" si="17"/>
        <v>106.785</v>
      </c>
      <c r="AC59" s="1">
        <v>37489.06</v>
      </c>
      <c r="AD59" s="1">
        <f t="shared" si="18"/>
        <v>9372.2649999999994</v>
      </c>
      <c r="AE59" s="1">
        <f t="shared" si="19"/>
        <v>534219.10499999998</v>
      </c>
      <c r="AF59" s="1">
        <v>2351.81</v>
      </c>
      <c r="AG59" s="1">
        <f t="shared" si="20"/>
        <v>587.95249999999999</v>
      </c>
      <c r="AH59" s="1">
        <f t="shared" si="21"/>
        <v>5879.5249999999996</v>
      </c>
      <c r="AI59" s="1">
        <v>5041.4399999999996</v>
      </c>
      <c r="AJ59" s="1">
        <f t="shared" si="22"/>
        <v>1260.3599999999999</v>
      </c>
      <c r="AK59" s="5">
        <f t="shared" si="23"/>
        <v>22686.48</v>
      </c>
      <c r="AL59" s="6">
        <f t="shared" si="24"/>
        <v>15056.607499999998</v>
      </c>
      <c r="AM59" s="6">
        <f t="shared" si="24"/>
        <v>3127647.4574999996</v>
      </c>
      <c r="AN59" s="6">
        <f t="shared" si="25"/>
        <v>207.72590754590632</v>
      </c>
      <c r="AO59" s="6">
        <f t="shared" si="26"/>
        <v>0.20772590754590634</v>
      </c>
    </row>
    <row r="60" spans="1:41" ht="14" x14ac:dyDescent="0.15">
      <c r="A60" s="1" t="s">
        <v>57</v>
      </c>
      <c r="B60" s="1">
        <v>3482.31</v>
      </c>
      <c r="C60" s="1">
        <f t="shared" si="0"/>
        <v>870.57749999999999</v>
      </c>
      <c r="D60" s="1">
        <f t="shared" si="1"/>
        <v>242020.54499999998</v>
      </c>
      <c r="E60" s="1">
        <v>5042.46</v>
      </c>
      <c r="F60" s="1">
        <f t="shared" si="2"/>
        <v>1260.615</v>
      </c>
      <c r="G60" s="1">
        <f t="shared" si="3"/>
        <v>1419452.49</v>
      </c>
      <c r="H60" s="1">
        <v>3091.66</v>
      </c>
      <c r="I60" s="1">
        <f t="shared" si="4"/>
        <v>772.91499999999996</v>
      </c>
      <c r="J60" s="1">
        <f t="shared" si="5"/>
        <v>337763.85499999998</v>
      </c>
      <c r="K60" s="1">
        <v>1926.36</v>
      </c>
      <c r="L60" s="1">
        <f t="shared" si="6"/>
        <v>481.59</v>
      </c>
      <c r="M60" s="1">
        <f t="shared" si="7"/>
        <v>454139.37</v>
      </c>
      <c r="N60" s="1">
        <v>342.17</v>
      </c>
      <c r="O60" s="1">
        <f t="shared" si="8"/>
        <v>85.542500000000004</v>
      </c>
      <c r="P60" s="1">
        <f t="shared" si="9"/>
        <v>79468.982499999998</v>
      </c>
      <c r="Q60" s="1">
        <v>29.2</v>
      </c>
      <c r="R60" s="1">
        <f t="shared" si="10"/>
        <v>7.3</v>
      </c>
      <c r="S60" s="1">
        <f t="shared" si="11"/>
        <v>1182.5999999999999</v>
      </c>
      <c r="T60" s="1">
        <v>10.96</v>
      </c>
      <c r="U60" s="1">
        <f t="shared" si="12"/>
        <v>2.74</v>
      </c>
      <c r="V60" s="1">
        <f t="shared" si="13"/>
        <v>68.5</v>
      </c>
      <c r="W60" s="1">
        <v>1151.75</v>
      </c>
      <c r="X60" s="1">
        <f t="shared" si="14"/>
        <v>287.9375</v>
      </c>
      <c r="Y60" s="1">
        <f t="shared" si="15"/>
        <v>863.8125</v>
      </c>
      <c r="Z60" s="1">
        <v>64.86</v>
      </c>
      <c r="AA60" s="1">
        <f t="shared" si="16"/>
        <v>16.215</v>
      </c>
      <c r="AB60" s="1">
        <f t="shared" si="17"/>
        <v>48.644999999999996</v>
      </c>
      <c r="AC60" s="1">
        <v>37366.58</v>
      </c>
      <c r="AD60" s="1">
        <f t="shared" si="18"/>
        <v>9341.6450000000004</v>
      </c>
      <c r="AE60" s="1">
        <f t="shared" si="19"/>
        <v>532473.76500000001</v>
      </c>
      <c r="AF60" s="1">
        <v>2496.0700000000002</v>
      </c>
      <c r="AG60" s="1">
        <f t="shared" si="20"/>
        <v>624.01750000000004</v>
      </c>
      <c r="AH60" s="1">
        <f t="shared" si="21"/>
        <v>6240.1750000000002</v>
      </c>
      <c r="AI60" s="1">
        <v>5462.87</v>
      </c>
      <c r="AJ60" s="1">
        <f t="shared" si="22"/>
        <v>1365.7175</v>
      </c>
      <c r="AK60" s="5">
        <f t="shared" si="23"/>
        <v>24582.915000000001</v>
      </c>
      <c r="AL60" s="6">
        <f t="shared" si="24"/>
        <v>15116.812500000002</v>
      </c>
      <c r="AM60" s="6">
        <f t="shared" si="24"/>
        <v>3098305.6549999998</v>
      </c>
      <c r="AN60" s="6">
        <f t="shared" si="25"/>
        <v>204.95760299997102</v>
      </c>
      <c r="AO60" s="6">
        <f t="shared" si="26"/>
        <v>0.20495760299997101</v>
      </c>
    </row>
    <row r="61" spans="1:41" ht="14" x14ac:dyDescent="0.15">
      <c r="A61" s="1" t="s">
        <v>58</v>
      </c>
      <c r="B61" s="1">
        <v>3478.78</v>
      </c>
      <c r="C61" s="1">
        <f t="shared" si="0"/>
        <v>869.69500000000005</v>
      </c>
      <c r="D61" s="1">
        <f t="shared" si="1"/>
        <v>241775.21000000002</v>
      </c>
      <c r="E61" s="1">
        <v>4934.8999999999996</v>
      </c>
      <c r="F61" s="1">
        <f t="shared" si="2"/>
        <v>1233.7249999999999</v>
      </c>
      <c r="G61" s="1">
        <f t="shared" si="3"/>
        <v>1389174.3499999999</v>
      </c>
      <c r="H61" s="1">
        <v>3090.05</v>
      </c>
      <c r="I61" s="1">
        <f t="shared" si="4"/>
        <v>772.51250000000005</v>
      </c>
      <c r="J61" s="1">
        <f t="shared" si="5"/>
        <v>337587.96250000002</v>
      </c>
      <c r="K61" s="1">
        <v>1904.4</v>
      </c>
      <c r="L61" s="1">
        <f t="shared" si="6"/>
        <v>476.1</v>
      </c>
      <c r="M61" s="1">
        <f t="shared" si="7"/>
        <v>448962.30000000005</v>
      </c>
      <c r="N61" s="1">
        <v>342.3</v>
      </c>
      <c r="O61" s="1">
        <f t="shared" si="8"/>
        <v>85.575000000000003</v>
      </c>
      <c r="P61" s="1">
        <f t="shared" si="9"/>
        <v>79499.175000000003</v>
      </c>
      <c r="Q61" s="1">
        <v>29.22</v>
      </c>
      <c r="R61" s="1">
        <f t="shared" si="10"/>
        <v>7.3049999999999997</v>
      </c>
      <c r="S61" s="1">
        <f t="shared" si="11"/>
        <v>1183.4099999999999</v>
      </c>
      <c r="T61" s="1">
        <v>54.61</v>
      </c>
      <c r="U61" s="1">
        <f t="shared" si="12"/>
        <v>13.6525</v>
      </c>
      <c r="V61" s="1">
        <f t="shared" si="13"/>
        <v>341.3125</v>
      </c>
      <c r="W61" s="1">
        <v>1156.23</v>
      </c>
      <c r="X61" s="1">
        <f t="shared" si="14"/>
        <v>289.0575</v>
      </c>
      <c r="Y61" s="1">
        <f t="shared" si="15"/>
        <v>867.17250000000001</v>
      </c>
      <c r="Z61" s="1">
        <v>26.96</v>
      </c>
      <c r="AA61" s="1">
        <f t="shared" si="16"/>
        <v>6.74</v>
      </c>
      <c r="AB61" s="1">
        <f t="shared" si="17"/>
        <v>20.22</v>
      </c>
      <c r="AC61" s="1">
        <v>36957.78</v>
      </c>
      <c r="AD61" s="1">
        <f t="shared" si="18"/>
        <v>9239.4449999999997</v>
      </c>
      <c r="AE61" s="1">
        <f t="shared" si="19"/>
        <v>526648.36499999999</v>
      </c>
      <c r="AF61" s="1">
        <v>2788.59</v>
      </c>
      <c r="AG61" s="1">
        <f t="shared" si="20"/>
        <v>697.14750000000004</v>
      </c>
      <c r="AH61" s="1">
        <f t="shared" si="21"/>
        <v>6971.4750000000004</v>
      </c>
      <c r="AI61" s="1">
        <v>5648.32</v>
      </c>
      <c r="AJ61" s="1">
        <f t="shared" si="22"/>
        <v>1412.08</v>
      </c>
      <c r="AK61" s="5">
        <f t="shared" si="23"/>
        <v>25417.439999999999</v>
      </c>
      <c r="AL61" s="6">
        <f t="shared" si="24"/>
        <v>15103.034999999998</v>
      </c>
      <c r="AM61" s="6">
        <f t="shared" si="24"/>
        <v>3058448.3925000001</v>
      </c>
      <c r="AN61" s="6">
        <f t="shared" si="25"/>
        <v>202.50554888471095</v>
      </c>
      <c r="AO61" s="6">
        <f t="shared" si="26"/>
        <v>0.20250554888471095</v>
      </c>
    </row>
    <row r="62" spans="1:41" ht="14" x14ac:dyDescent="0.15">
      <c r="A62" s="1" t="s">
        <v>59</v>
      </c>
      <c r="B62" s="1">
        <v>3482.27</v>
      </c>
      <c r="C62" s="1">
        <f t="shared" si="0"/>
        <v>870.5675</v>
      </c>
      <c r="D62" s="1">
        <f t="shared" si="1"/>
        <v>242017.76499999998</v>
      </c>
      <c r="E62" s="1">
        <v>4526.46</v>
      </c>
      <c r="F62" s="1">
        <f t="shared" si="2"/>
        <v>1131.615</v>
      </c>
      <c r="G62" s="1">
        <f t="shared" si="3"/>
        <v>1274198.49</v>
      </c>
      <c r="H62" s="1">
        <v>3062.93</v>
      </c>
      <c r="I62" s="1">
        <f t="shared" si="4"/>
        <v>765.73249999999996</v>
      </c>
      <c r="J62" s="1">
        <f t="shared" si="5"/>
        <v>334625.10249999998</v>
      </c>
      <c r="K62" s="1">
        <v>1890.82</v>
      </c>
      <c r="L62" s="1">
        <f t="shared" si="6"/>
        <v>472.70499999999998</v>
      </c>
      <c r="M62" s="1">
        <f t="shared" si="7"/>
        <v>445760.815</v>
      </c>
      <c r="N62" s="1">
        <v>342.17</v>
      </c>
      <c r="O62" s="1">
        <f t="shared" si="8"/>
        <v>85.542500000000004</v>
      </c>
      <c r="P62" s="1">
        <f t="shared" si="9"/>
        <v>79468.982499999998</v>
      </c>
      <c r="Q62" s="1">
        <v>29.24</v>
      </c>
      <c r="R62" s="1">
        <f t="shared" si="10"/>
        <v>7.31</v>
      </c>
      <c r="S62" s="1">
        <f t="shared" si="11"/>
        <v>1184.22</v>
      </c>
      <c r="T62" s="1">
        <v>78.569999999999993</v>
      </c>
      <c r="U62" s="1">
        <f t="shared" si="12"/>
        <v>19.642499999999998</v>
      </c>
      <c r="V62" s="1">
        <f t="shared" si="13"/>
        <v>491.06249999999994</v>
      </c>
      <c r="W62" s="1">
        <v>1161.73</v>
      </c>
      <c r="X62" s="1">
        <f t="shared" si="14"/>
        <v>290.4325</v>
      </c>
      <c r="Y62" s="1">
        <f t="shared" si="15"/>
        <v>871.29750000000001</v>
      </c>
      <c r="Z62" s="1">
        <v>2.94</v>
      </c>
      <c r="AA62" s="1">
        <f t="shared" si="16"/>
        <v>0.73499999999999999</v>
      </c>
      <c r="AB62" s="1">
        <f t="shared" si="17"/>
        <v>2.2050000000000001</v>
      </c>
      <c r="AC62" s="1">
        <v>36693.99</v>
      </c>
      <c r="AD62" s="1">
        <f t="shared" si="18"/>
        <v>9173.4974999999995</v>
      </c>
      <c r="AE62" s="1">
        <f t="shared" si="19"/>
        <v>522889.35749999998</v>
      </c>
      <c r="AF62" s="1">
        <v>2903.07</v>
      </c>
      <c r="AG62" s="1">
        <f t="shared" si="20"/>
        <v>725.76750000000004</v>
      </c>
      <c r="AH62" s="1">
        <f t="shared" si="21"/>
        <v>7257.6750000000002</v>
      </c>
      <c r="AI62" s="1">
        <v>5785.4</v>
      </c>
      <c r="AJ62" s="1">
        <f t="shared" si="22"/>
        <v>1446.35</v>
      </c>
      <c r="AK62" s="5">
        <f t="shared" si="23"/>
        <v>26034.3</v>
      </c>
      <c r="AL62" s="6">
        <f t="shared" si="24"/>
        <v>14989.897499999999</v>
      </c>
      <c r="AM62" s="6">
        <f t="shared" si="24"/>
        <v>2934801.2724999995</v>
      </c>
      <c r="AN62" s="6">
        <f t="shared" si="25"/>
        <v>195.78527955244522</v>
      </c>
      <c r="AO62" s="6">
        <f t="shared" si="26"/>
        <v>0.19578527955244521</v>
      </c>
    </row>
    <row r="63" spans="1:41" ht="14" x14ac:dyDescent="0.15">
      <c r="A63" s="1" t="s">
        <v>60</v>
      </c>
      <c r="B63" s="1">
        <v>3475.23</v>
      </c>
      <c r="C63" s="1">
        <f t="shared" si="0"/>
        <v>868.8075</v>
      </c>
      <c r="D63" s="1">
        <f t="shared" si="1"/>
        <v>241528.48500000002</v>
      </c>
      <c r="E63" s="1">
        <v>4458.1499999999996</v>
      </c>
      <c r="F63" s="1">
        <f t="shared" si="2"/>
        <v>1114.5374999999999</v>
      </c>
      <c r="G63" s="1">
        <f t="shared" si="3"/>
        <v>1254969.2249999999</v>
      </c>
      <c r="H63" s="1">
        <v>3048.03</v>
      </c>
      <c r="I63" s="1">
        <f t="shared" si="4"/>
        <v>762.00750000000005</v>
      </c>
      <c r="J63" s="1">
        <f t="shared" si="5"/>
        <v>332997.27750000003</v>
      </c>
      <c r="K63" s="1">
        <v>1870.14</v>
      </c>
      <c r="L63" s="1">
        <f t="shared" si="6"/>
        <v>467.53500000000003</v>
      </c>
      <c r="M63" s="1">
        <f t="shared" si="7"/>
        <v>440885.505</v>
      </c>
      <c r="N63" s="1">
        <v>342.17</v>
      </c>
      <c r="O63" s="1">
        <f t="shared" si="8"/>
        <v>85.542500000000004</v>
      </c>
      <c r="P63" s="1">
        <f t="shared" si="9"/>
        <v>79468.982499999998</v>
      </c>
      <c r="Q63" s="1">
        <v>29.23</v>
      </c>
      <c r="R63" s="1">
        <f t="shared" si="10"/>
        <v>7.3075000000000001</v>
      </c>
      <c r="S63" s="1">
        <f t="shared" si="11"/>
        <v>1183.8150000000001</v>
      </c>
      <c r="T63" s="1">
        <v>2.81</v>
      </c>
      <c r="U63" s="1">
        <f t="shared" si="12"/>
        <v>0.70250000000000001</v>
      </c>
      <c r="V63" s="1">
        <f t="shared" si="13"/>
        <v>17.5625</v>
      </c>
      <c r="W63" s="1">
        <v>1172.74</v>
      </c>
      <c r="X63" s="1">
        <f t="shared" si="14"/>
        <v>293.185</v>
      </c>
      <c r="Y63" s="1">
        <f t="shared" si="15"/>
        <v>879.55500000000006</v>
      </c>
      <c r="Z63" s="1">
        <v>3.26</v>
      </c>
      <c r="AA63" s="1">
        <f t="shared" si="16"/>
        <v>0.81499999999999995</v>
      </c>
      <c r="AB63" s="1">
        <f t="shared" si="17"/>
        <v>2.4449999999999998</v>
      </c>
      <c r="AC63" s="1">
        <v>36335.339999999997</v>
      </c>
      <c r="AD63" s="1">
        <f t="shared" si="18"/>
        <v>9083.8349999999991</v>
      </c>
      <c r="AE63" s="1">
        <f t="shared" si="19"/>
        <v>517778.59499999997</v>
      </c>
      <c r="AF63" s="1">
        <v>2876.06</v>
      </c>
      <c r="AG63" s="1">
        <f t="shared" si="20"/>
        <v>719.01499999999999</v>
      </c>
      <c r="AH63" s="1">
        <f t="shared" si="21"/>
        <v>7190.15</v>
      </c>
      <c r="AI63" s="1">
        <v>6045.41</v>
      </c>
      <c r="AJ63" s="1">
        <f t="shared" si="22"/>
        <v>1511.3525</v>
      </c>
      <c r="AK63" s="5">
        <f t="shared" si="23"/>
        <v>27204.345000000001</v>
      </c>
      <c r="AL63" s="6">
        <f t="shared" si="24"/>
        <v>14914.642499999998</v>
      </c>
      <c r="AM63" s="6">
        <f t="shared" si="24"/>
        <v>2904105.9424999999</v>
      </c>
      <c r="AN63" s="6">
        <f t="shared" si="25"/>
        <v>194.71508904755848</v>
      </c>
      <c r="AO63" s="6">
        <f t="shared" si="26"/>
        <v>0.19471508904755847</v>
      </c>
    </row>
    <row r="64" spans="1:41" ht="14" x14ac:dyDescent="0.15">
      <c r="A64" s="1" t="s">
        <v>61</v>
      </c>
      <c r="B64" s="1">
        <v>3483.28</v>
      </c>
      <c r="C64" s="1">
        <f t="shared" si="0"/>
        <v>870.82</v>
      </c>
      <c r="D64" s="1">
        <f t="shared" si="1"/>
        <v>242087.96000000002</v>
      </c>
      <c r="E64" s="1">
        <v>4472.1400000000003</v>
      </c>
      <c r="F64" s="1">
        <f t="shared" si="2"/>
        <v>1118.0350000000001</v>
      </c>
      <c r="G64" s="1">
        <f t="shared" si="3"/>
        <v>1258907.4100000001</v>
      </c>
      <c r="H64" s="1">
        <v>3035.17</v>
      </c>
      <c r="I64" s="1">
        <f t="shared" si="4"/>
        <v>758.79250000000002</v>
      </c>
      <c r="J64" s="1">
        <f t="shared" si="5"/>
        <v>331592.32250000001</v>
      </c>
      <c r="K64" s="1">
        <v>1854.14</v>
      </c>
      <c r="L64" s="1">
        <f t="shared" si="6"/>
        <v>463.53500000000003</v>
      </c>
      <c r="M64" s="1">
        <f t="shared" si="7"/>
        <v>437113.505</v>
      </c>
      <c r="N64" s="1">
        <v>342.17</v>
      </c>
      <c r="O64" s="1">
        <f t="shared" si="8"/>
        <v>85.542500000000004</v>
      </c>
      <c r="P64" s="1">
        <f t="shared" si="9"/>
        <v>79468.982499999998</v>
      </c>
      <c r="Q64" s="1">
        <v>29.13</v>
      </c>
      <c r="R64" s="1">
        <f t="shared" si="10"/>
        <v>7.2824999999999998</v>
      </c>
      <c r="S64" s="1">
        <f t="shared" si="11"/>
        <v>1179.7649999999999</v>
      </c>
      <c r="T64" s="1">
        <v>8.7799999999999994</v>
      </c>
      <c r="U64" s="1">
        <f t="shared" si="12"/>
        <v>2.1949999999999998</v>
      </c>
      <c r="V64" s="1">
        <f t="shared" si="13"/>
        <v>54.874999999999993</v>
      </c>
      <c r="W64" s="1">
        <v>1168.52</v>
      </c>
      <c r="X64" s="1">
        <f t="shared" si="14"/>
        <v>292.13</v>
      </c>
      <c r="Y64" s="1">
        <f t="shared" si="15"/>
        <v>876.39</v>
      </c>
      <c r="Z64" s="1">
        <v>8.92</v>
      </c>
      <c r="AA64" s="1">
        <f t="shared" si="16"/>
        <v>2.23</v>
      </c>
      <c r="AB64" s="1">
        <f t="shared" si="17"/>
        <v>6.6899999999999995</v>
      </c>
      <c r="AC64" s="1">
        <v>35572.959999999999</v>
      </c>
      <c r="AD64" s="1">
        <f t="shared" si="18"/>
        <v>8893.24</v>
      </c>
      <c r="AE64" s="1">
        <f t="shared" si="19"/>
        <v>506914.68</v>
      </c>
      <c r="AF64" s="1">
        <v>2799.98</v>
      </c>
      <c r="AG64" s="1">
        <f t="shared" si="20"/>
        <v>699.995</v>
      </c>
      <c r="AH64" s="1">
        <f t="shared" si="21"/>
        <v>6999.95</v>
      </c>
      <c r="AI64" s="1">
        <v>6507.11</v>
      </c>
      <c r="AJ64" s="1">
        <f t="shared" si="22"/>
        <v>1626.7774999999999</v>
      </c>
      <c r="AK64" s="5">
        <f t="shared" si="23"/>
        <v>29281.994999999999</v>
      </c>
      <c r="AL64" s="6">
        <f t="shared" si="24"/>
        <v>14820.575000000001</v>
      </c>
      <c r="AM64" s="6">
        <f t="shared" si="24"/>
        <v>2894484.5250000008</v>
      </c>
      <c r="AN64" s="6">
        <f t="shared" si="25"/>
        <v>195.30176966818092</v>
      </c>
      <c r="AO64" s="6">
        <f t="shared" si="26"/>
        <v>0.19530176966818091</v>
      </c>
    </row>
    <row r="65" spans="1:41" ht="14" x14ac:dyDescent="0.15">
      <c r="A65" s="1" t="s">
        <v>62</v>
      </c>
      <c r="B65" s="1">
        <v>3489.12</v>
      </c>
      <c r="C65" s="1">
        <f t="shared" si="0"/>
        <v>872.28</v>
      </c>
      <c r="D65" s="1">
        <f t="shared" si="1"/>
        <v>242493.84</v>
      </c>
      <c r="E65" s="1">
        <v>4411.18</v>
      </c>
      <c r="F65" s="1">
        <f t="shared" si="2"/>
        <v>1102.7950000000001</v>
      </c>
      <c r="G65" s="1">
        <f t="shared" si="3"/>
        <v>1241747.1700000002</v>
      </c>
      <c r="H65" s="1">
        <v>3036.79</v>
      </c>
      <c r="I65" s="1">
        <f t="shared" si="4"/>
        <v>759.19749999999999</v>
      </c>
      <c r="J65" s="1">
        <f t="shared" si="5"/>
        <v>331769.3075</v>
      </c>
      <c r="K65" s="1">
        <v>1858.61</v>
      </c>
      <c r="L65" s="1">
        <f t="shared" si="6"/>
        <v>464.65249999999997</v>
      </c>
      <c r="M65" s="1">
        <f t="shared" si="7"/>
        <v>438167.3075</v>
      </c>
      <c r="N65" s="1">
        <v>342.3</v>
      </c>
      <c r="O65" s="1">
        <f t="shared" si="8"/>
        <v>85.575000000000003</v>
      </c>
      <c r="P65" s="1">
        <f t="shared" si="9"/>
        <v>79499.175000000003</v>
      </c>
      <c r="Q65" s="1">
        <v>29.13</v>
      </c>
      <c r="R65" s="1">
        <f t="shared" si="10"/>
        <v>7.2824999999999998</v>
      </c>
      <c r="S65" s="1">
        <f t="shared" si="11"/>
        <v>1179.7649999999999</v>
      </c>
      <c r="T65" s="1">
        <v>47.14</v>
      </c>
      <c r="U65" s="1">
        <f t="shared" si="12"/>
        <v>11.785</v>
      </c>
      <c r="V65" s="1">
        <f t="shared" si="13"/>
        <v>294.625</v>
      </c>
      <c r="W65" s="1">
        <v>1178.57</v>
      </c>
      <c r="X65" s="1">
        <f t="shared" si="14"/>
        <v>294.64249999999998</v>
      </c>
      <c r="Y65" s="1">
        <f t="shared" si="15"/>
        <v>883.92750000000001</v>
      </c>
      <c r="Z65" s="1">
        <v>128.1</v>
      </c>
      <c r="AA65" s="1">
        <f t="shared" si="16"/>
        <v>32.024999999999999</v>
      </c>
      <c r="AB65" s="1">
        <f t="shared" si="17"/>
        <v>96.074999999999989</v>
      </c>
      <c r="AC65" s="1">
        <v>34995.279999999999</v>
      </c>
      <c r="AD65" s="1">
        <f t="shared" si="18"/>
        <v>8748.82</v>
      </c>
      <c r="AE65" s="1">
        <f t="shared" si="19"/>
        <v>498682.74</v>
      </c>
      <c r="AF65" s="1">
        <v>2647.77</v>
      </c>
      <c r="AG65" s="1">
        <f t="shared" si="20"/>
        <v>661.9425</v>
      </c>
      <c r="AH65" s="1">
        <f t="shared" si="21"/>
        <v>6619.4250000000002</v>
      </c>
      <c r="AI65" s="1">
        <v>7072.02</v>
      </c>
      <c r="AJ65" s="1">
        <f t="shared" si="22"/>
        <v>1768.0050000000001</v>
      </c>
      <c r="AK65" s="5">
        <f t="shared" si="23"/>
        <v>31824.090000000004</v>
      </c>
      <c r="AL65" s="6">
        <f t="shared" si="24"/>
        <v>14809.002499999999</v>
      </c>
      <c r="AM65" s="6">
        <f t="shared" si="24"/>
        <v>2873257.4475000007</v>
      </c>
      <c r="AN65" s="6">
        <f t="shared" si="25"/>
        <v>194.02099820700286</v>
      </c>
      <c r="AO65" s="6">
        <f t="shared" si="26"/>
        <v>0.19402099820700286</v>
      </c>
    </row>
    <row r="66" spans="1:41" ht="14" x14ac:dyDescent="0.15">
      <c r="A66" s="1" t="s">
        <v>63</v>
      </c>
      <c r="B66" s="1">
        <v>3503.85</v>
      </c>
      <c r="C66" s="1">
        <f t="shared" si="0"/>
        <v>875.96249999999998</v>
      </c>
      <c r="D66" s="1">
        <f t="shared" si="1"/>
        <v>243517.57499999998</v>
      </c>
      <c r="E66" s="1">
        <v>4392.63</v>
      </c>
      <c r="F66" s="1">
        <f t="shared" si="2"/>
        <v>1098.1575</v>
      </c>
      <c r="G66" s="1">
        <f t="shared" si="3"/>
        <v>1236525.345</v>
      </c>
      <c r="H66" s="1">
        <v>3030.58</v>
      </c>
      <c r="I66" s="1">
        <f t="shared" si="4"/>
        <v>757.64499999999998</v>
      </c>
      <c r="J66" s="1">
        <f t="shared" si="5"/>
        <v>331090.86499999999</v>
      </c>
      <c r="K66" s="1">
        <v>1864.9</v>
      </c>
      <c r="L66" s="1">
        <f t="shared" si="6"/>
        <v>466.22500000000002</v>
      </c>
      <c r="M66" s="1">
        <f t="shared" si="7"/>
        <v>439650.17500000005</v>
      </c>
      <c r="N66" s="1">
        <v>342.3</v>
      </c>
      <c r="O66" s="1">
        <f t="shared" si="8"/>
        <v>85.575000000000003</v>
      </c>
      <c r="P66" s="1">
        <f t="shared" si="9"/>
        <v>79499.175000000003</v>
      </c>
      <c r="Q66" s="1">
        <v>29.22</v>
      </c>
      <c r="R66" s="1">
        <f t="shared" si="10"/>
        <v>7.3049999999999997</v>
      </c>
      <c r="S66" s="1">
        <f t="shared" si="11"/>
        <v>1183.4099999999999</v>
      </c>
      <c r="T66" s="1">
        <v>34.35</v>
      </c>
      <c r="U66" s="1">
        <f t="shared" si="12"/>
        <v>8.5875000000000004</v>
      </c>
      <c r="V66" s="1">
        <f t="shared" si="13"/>
        <v>214.6875</v>
      </c>
      <c r="W66" s="1">
        <v>1178.26</v>
      </c>
      <c r="X66" s="1">
        <f t="shared" si="14"/>
        <v>294.565</v>
      </c>
      <c r="Y66" s="1">
        <f t="shared" si="15"/>
        <v>883.69499999999994</v>
      </c>
      <c r="Z66" s="1">
        <v>20.36</v>
      </c>
      <c r="AA66" s="1">
        <f t="shared" si="16"/>
        <v>5.09</v>
      </c>
      <c r="AB66" s="1">
        <f t="shared" si="17"/>
        <v>15.27</v>
      </c>
      <c r="AC66" s="1">
        <v>34118.870000000003</v>
      </c>
      <c r="AD66" s="1">
        <f t="shared" si="18"/>
        <v>8529.7175000000007</v>
      </c>
      <c r="AE66" s="1">
        <f t="shared" si="19"/>
        <v>486193.89750000002</v>
      </c>
      <c r="AF66" s="1">
        <v>2862.16</v>
      </c>
      <c r="AG66" s="1">
        <f t="shared" si="20"/>
        <v>715.54</v>
      </c>
      <c r="AH66" s="1">
        <f t="shared" si="21"/>
        <v>7155.4</v>
      </c>
      <c r="AI66" s="1">
        <v>7563.43</v>
      </c>
      <c r="AJ66" s="1">
        <f t="shared" si="22"/>
        <v>1890.8575000000001</v>
      </c>
      <c r="AK66" s="5">
        <f t="shared" si="23"/>
        <v>34035.434999999998</v>
      </c>
      <c r="AL66" s="6">
        <f t="shared" si="24"/>
        <v>14735.227499999999</v>
      </c>
      <c r="AM66" s="6">
        <f t="shared" si="24"/>
        <v>2859964.9299999997</v>
      </c>
      <c r="AN66" s="6">
        <f t="shared" si="25"/>
        <v>194.09031384143881</v>
      </c>
      <c r="AO66" s="6">
        <f t="shared" si="26"/>
        <v>0.19409031384143882</v>
      </c>
    </row>
    <row r="67" spans="1:41" ht="14" x14ac:dyDescent="0.15">
      <c r="A67" s="1" t="s">
        <v>64</v>
      </c>
      <c r="B67" s="1">
        <v>3516.3</v>
      </c>
      <c r="C67" s="1">
        <f t="shared" si="0"/>
        <v>879.07500000000005</v>
      </c>
      <c r="D67" s="1">
        <f t="shared" si="1"/>
        <v>244382.85</v>
      </c>
      <c r="E67" s="1">
        <v>4426.07</v>
      </c>
      <c r="F67" s="1">
        <f t="shared" si="2"/>
        <v>1106.5174999999999</v>
      </c>
      <c r="G67" s="1">
        <f t="shared" si="3"/>
        <v>1245938.7049999998</v>
      </c>
      <c r="H67" s="1">
        <v>3065.36</v>
      </c>
      <c r="I67" s="1">
        <f t="shared" si="4"/>
        <v>766.34</v>
      </c>
      <c r="J67" s="1">
        <f t="shared" si="5"/>
        <v>334890.58</v>
      </c>
      <c r="K67" s="1">
        <v>1863.37</v>
      </c>
      <c r="L67" s="1">
        <f t="shared" si="6"/>
        <v>465.84249999999997</v>
      </c>
      <c r="M67" s="1">
        <f t="shared" si="7"/>
        <v>439289.47749999998</v>
      </c>
      <c r="N67" s="1">
        <v>342.17</v>
      </c>
      <c r="O67" s="1">
        <f t="shared" si="8"/>
        <v>85.542500000000004</v>
      </c>
      <c r="P67" s="1">
        <f t="shared" si="9"/>
        <v>79468.982499999998</v>
      </c>
      <c r="Q67" s="1">
        <v>29.12</v>
      </c>
      <c r="R67" s="1">
        <f t="shared" si="10"/>
        <v>7.28</v>
      </c>
      <c r="S67" s="1">
        <f t="shared" si="11"/>
        <v>1179.3600000000001</v>
      </c>
      <c r="T67" s="1">
        <v>92.36</v>
      </c>
      <c r="U67" s="1">
        <f t="shared" si="12"/>
        <v>23.09</v>
      </c>
      <c r="V67" s="1">
        <f t="shared" si="13"/>
        <v>577.25</v>
      </c>
      <c r="W67" s="1">
        <v>1181.79</v>
      </c>
      <c r="X67" s="1">
        <f t="shared" si="14"/>
        <v>295.44749999999999</v>
      </c>
      <c r="Y67" s="1">
        <f t="shared" si="15"/>
        <v>886.34249999999997</v>
      </c>
      <c r="Z67" s="1">
        <v>25.36</v>
      </c>
      <c r="AA67" s="1">
        <f t="shared" si="16"/>
        <v>6.34</v>
      </c>
      <c r="AB67" s="1">
        <f t="shared" si="17"/>
        <v>19.02</v>
      </c>
      <c r="AC67" s="1">
        <v>33192.43</v>
      </c>
      <c r="AD67" s="1">
        <f t="shared" si="18"/>
        <v>8298.1075000000001</v>
      </c>
      <c r="AE67" s="1">
        <f t="shared" si="19"/>
        <v>472992.1275</v>
      </c>
      <c r="AF67" s="1">
        <v>2899.42</v>
      </c>
      <c r="AG67" s="1">
        <f t="shared" si="20"/>
        <v>724.85500000000002</v>
      </c>
      <c r="AH67" s="1">
        <f t="shared" si="21"/>
        <v>7248.55</v>
      </c>
      <c r="AI67" s="1">
        <v>7927.19</v>
      </c>
      <c r="AJ67" s="1">
        <f t="shared" si="22"/>
        <v>1981.7974999999999</v>
      </c>
      <c r="AK67" s="5">
        <f t="shared" si="23"/>
        <v>35672.354999999996</v>
      </c>
      <c r="AL67" s="6">
        <f t="shared" si="24"/>
        <v>14640.235000000001</v>
      </c>
      <c r="AM67" s="6">
        <f t="shared" si="24"/>
        <v>2862545.5999999992</v>
      </c>
      <c r="AN67" s="6">
        <f t="shared" si="25"/>
        <v>195.5259324730784</v>
      </c>
      <c r="AO67" s="6">
        <f t="shared" si="26"/>
        <v>0.1955259324730784</v>
      </c>
    </row>
    <row r="68" spans="1:41" ht="14" x14ac:dyDescent="0.15">
      <c r="A68" s="1" t="s">
        <v>65</v>
      </c>
      <c r="B68" s="1">
        <v>3530.51</v>
      </c>
      <c r="C68" s="1">
        <f t="shared" si="0"/>
        <v>882.62750000000005</v>
      </c>
      <c r="D68" s="1">
        <f t="shared" si="1"/>
        <v>245370.44500000001</v>
      </c>
      <c r="E68" s="1">
        <v>4405.1099999999997</v>
      </c>
      <c r="F68" s="1">
        <f t="shared" si="2"/>
        <v>1101.2774999999999</v>
      </c>
      <c r="G68" s="1">
        <f t="shared" si="3"/>
        <v>1240038.4649999999</v>
      </c>
      <c r="H68" s="1">
        <v>3073.93</v>
      </c>
      <c r="I68" s="1">
        <f t="shared" si="4"/>
        <v>768.48249999999996</v>
      </c>
      <c r="J68" s="1">
        <f t="shared" si="5"/>
        <v>335826.85249999998</v>
      </c>
      <c r="K68" s="1">
        <v>1882.92</v>
      </c>
      <c r="L68" s="1">
        <f t="shared" si="6"/>
        <v>470.73</v>
      </c>
      <c r="M68" s="1">
        <f t="shared" si="7"/>
        <v>443898.39</v>
      </c>
      <c r="N68" s="1">
        <v>342.3</v>
      </c>
      <c r="O68" s="1">
        <f t="shared" si="8"/>
        <v>85.575000000000003</v>
      </c>
      <c r="P68" s="1">
        <f t="shared" si="9"/>
        <v>79499.175000000003</v>
      </c>
      <c r="Q68" s="1">
        <v>29.13</v>
      </c>
      <c r="R68" s="1">
        <f t="shared" si="10"/>
        <v>7.2824999999999998</v>
      </c>
      <c r="S68" s="1">
        <f t="shared" si="11"/>
        <v>1179.7649999999999</v>
      </c>
      <c r="T68" s="1">
        <v>124.71</v>
      </c>
      <c r="U68" s="1">
        <f t="shared" si="12"/>
        <v>31.177499999999998</v>
      </c>
      <c r="V68" s="1">
        <f t="shared" si="13"/>
        <v>779.4375</v>
      </c>
      <c r="W68" s="1">
        <v>1155</v>
      </c>
      <c r="X68" s="1">
        <f t="shared" si="14"/>
        <v>288.75</v>
      </c>
      <c r="Y68" s="1">
        <f t="shared" si="15"/>
        <v>866.25</v>
      </c>
      <c r="Z68" s="1">
        <v>135.69</v>
      </c>
      <c r="AA68" s="1">
        <f t="shared" si="16"/>
        <v>33.922499999999999</v>
      </c>
      <c r="AB68" s="1">
        <f t="shared" si="17"/>
        <v>101.7675</v>
      </c>
      <c r="AC68" s="1">
        <v>32176.18</v>
      </c>
      <c r="AD68" s="1">
        <f t="shared" si="18"/>
        <v>8044.0450000000001</v>
      </c>
      <c r="AE68" s="1">
        <f t="shared" si="19"/>
        <v>458510.565</v>
      </c>
      <c r="AF68" s="1">
        <v>3039.03</v>
      </c>
      <c r="AG68" s="1">
        <f t="shared" si="20"/>
        <v>759.75750000000005</v>
      </c>
      <c r="AH68" s="1">
        <f t="shared" si="21"/>
        <v>7597.5750000000007</v>
      </c>
      <c r="AI68" s="1">
        <v>8135.93</v>
      </c>
      <c r="AJ68" s="1">
        <f t="shared" si="22"/>
        <v>2033.9825000000001</v>
      </c>
      <c r="AK68" s="5">
        <f t="shared" si="23"/>
        <v>36611.684999999998</v>
      </c>
      <c r="AL68" s="6">
        <f t="shared" si="24"/>
        <v>14507.609999999999</v>
      </c>
      <c r="AM68" s="6">
        <f t="shared" si="24"/>
        <v>2850280.3725000001</v>
      </c>
      <c r="AN68" s="6">
        <f t="shared" si="25"/>
        <v>196.46794837330202</v>
      </c>
      <c r="AO68" s="6">
        <f t="shared" si="26"/>
        <v>0.19646794837330203</v>
      </c>
    </row>
    <row r="69" spans="1:41" ht="14" x14ac:dyDescent="0.15">
      <c r="A69" s="1" t="s">
        <v>66</v>
      </c>
      <c r="B69" s="1">
        <v>3559.68</v>
      </c>
      <c r="C69" s="1">
        <f t="shared" si="0"/>
        <v>889.92</v>
      </c>
      <c r="D69" s="1">
        <f t="shared" si="1"/>
        <v>247397.75999999998</v>
      </c>
      <c r="E69" s="1">
        <v>4510.0600000000004</v>
      </c>
      <c r="F69" s="1">
        <f t="shared" si="2"/>
        <v>1127.5150000000001</v>
      </c>
      <c r="G69" s="1">
        <f t="shared" si="3"/>
        <v>1269581.8900000001</v>
      </c>
      <c r="H69" s="1">
        <v>3062.66</v>
      </c>
      <c r="I69" s="1">
        <f t="shared" si="4"/>
        <v>765.66499999999996</v>
      </c>
      <c r="J69" s="1">
        <f t="shared" si="5"/>
        <v>334595.60499999998</v>
      </c>
      <c r="K69" s="1">
        <v>1911.92</v>
      </c>
      <c r="L69" s="1">
        <f t="shared" si="6"/>
        <v>477.98</v>
      </c>
      <c r="M69" s="1">
        <f t="shared" si="7"/>
        <v>450735.14</v>
      </c>
      <c r="N69" s="1">
        <v>342.3</v>
      </c>
      <c r="O69" s="1">
        <f t="shared" si="8"/>
        <v>85.575000000000003</v>
      </c>
      <c r="P69" s="1">
        <f t="shared" si="9"/>
        <v>79499.175000000003</v>
      </c>
      <c r="Q69" s="1">
        <v>29.08</v>
      </c>
      <c r="R69" s="1">
        <f t="shared" si="10"/>
        <v>7.27</v>
      </c>
      <c r="S69" s="1">
        <f t="shared" si="11"/>
        <v>1177.74</v>
      </c>
      <c r="T69" s="1">
        <v>241.87</v>
      </c>
      <c r="U69" s="1">
        <f t="shared" si="12"/>
        <v>60.467500000000001</v>
      </c>
      <c r="V69" s="1">
        <f t="shared" si="13"/>
        <v>1511.6875</v>
      </c>
      <c r="W69" s="1">
        <v>1152.06</v>
      </c>
      <c r="X69" s="1">
        <f t="shared" si="14"/>
        <v>288.01499999999999</v>
      </c>
      <c r="Y69" s="1">
        <f t="shared" si="15"/>
        <v>864.04499999999996</v>
      </c>
      <c r="Z69" s="1">
        <v>265.47000000000003</v>
      </c>
      <c r="AA69" s="1">
        <f t="shared" si="16"/>
        <v>66.367500000000007</v>
      </c>
      <c r="AB69" s="1">
        <f t="shared" si="17"/>
        <v>199.10250000000002</v>
      </c>
      <c r="AC69" s="1">
        <v>31116.46</v>
      </c>
      <c r="AD69" s="1">
        <f t="shared" si="18"/>
        <v>7779.1149999999998</v>
      </c>
      <c r="AE69" s="1">
        <f t="shared" si="19"/>
        <v>443409.55499999999</v>
      </c>
      <c r="AF69" s="1">
        <v>2954.15</v>
      </c>
      <c r="AG69" s="1">
        <f t="shared" si="20"/>
        <v>738.53750000000002</v>
      </c>
      <c r="AH69" s="1">
        <f t="shared" si="21"/>
        <v>7385.375</v>
      </c>
      <c r="AI69" s="1">
        <v>8449.26</v>
      </c>
      <c r="AJ69" s="1">
        <f t="shared" si="22"/>
        <v>2112.3150000000001</v>
      </c>
      <c r="AK69" s="5">
        <f t="shared" si="23"/>
        <v>38021.67</v>
      </c>
      <c r="AL69" s="6">
        <f t="shared" si="24"/>
        <v>14398.7425</v>
      </c>
      <c r="AM69" s="6">
        <f t="shared" si="24"/>
        <v>2874378.7450000001</v>
      </c>
      <c r="AN69" s="6">
        <f t="shared" si="25"/>
        <v>199.62706778039819</v>
      </c>
      <c r="AO69" s="6">
        <f t="shared" si="26"/>
        <v>0.19962706778039818</v>
      </c>
    </row>
    <row r="70" spans="1:41" ht="14" x14ac:dyDescent="0.15">
      <c r="A70" s="1" t="s">
        <v>67</v>
      </c>
      <c r="B70" s="1">
        <v>3586.83</v>
      </c>
      <c r="C70" s="1">
        <f t="shared" si="0"/>
        <v>896.70749999999998</v>
      </c>
      <c r="D70" s="1">
        <f t="shared" si="1"/>
        <v>249284.685</v>
      </c>
      <c r="E70" s="1">
        <v>4604.46</v>
      </c>
      <c r="F70" s="1">
        <f t="shared" si="2"/>
        <v>1151.115</v>
      </c>
      <c r="G70" s="1">
        <f t="shared" si="3"/>
        <v>1296155.49</v>
      </c>
      <c r="H70" s="1">
        <v>3110.94</v>
      </c>
      <c r="I70" s="1">
        <f t="shared" si="4"/>
        <v>777.73500000000001</v>
      </c>
      <c r="J70" s="1">
        <f t="shared" si="5"/>
        <v>339870.19500000001</v>
      </c>
      <c r="K70" s="1">
        <v>1921.68</v>
      </c>
      <c r="L70" s="1">
        <f t="shared" si="6"/>
        <v>480.42</v>
      </c>
      <c r="M70" s="1">
        <f t="shared" si="7"/>
        <v>453036.06</v>
      </c>
      <c r="N70" s="1">
        <v>342.17</v>
      </c>
      <c r="O70" s="1">
        <f t="shared" si="8"/>
        <v>85.542500000000004</v>
      </c>
      <c r="P70" s="1">
        <f t="shared" si="9"/>
        <v>79468.982499999998</v>
      </c>
      <c r="Q70" s="1">
        <v>28.99</v>
      </c>
      <c r="R70" s="1">
        <f t="shared" si="10"/>
        <v>7.2474999999999996</v>
      </c>
      <c r="S70" s="1">
        <f t="shared" si="11"/>
        <v>1174.095</v>
      </c>
      <c r="T70" s="1">
        <v>241.91</v>
      </c>
      <c r="U70" s="1">
        <f t="shared" si="12"/>
        <v>60.477499999999999</v>
      </c>
      <c r="V70" s="1">
        <f t="shared" si="13"/>
        <v>1511.9375</v>
      </c>
      <c r="W70" s="1">
        <v>1158.47</v>
      </c>
      <c r="X70" s="1">
        <f t="shared" si="14"/>
        <v>289.61750000000001</v>
      </c>
      <c r="Y70" s="1">
        <f t="shared" si="15"/>
        <v>868.85249999999996</v>
      </c>
      <c r="Z70" s="1">
        <v>220.06</v>
      </c>
      <c r="AA70" s="1">
        <f t="shared" si="16"/>
        <v>55.015000000000001</v>
      </c>
      <c r="AB70" s="1">
        <f t="shared" si="17"/>
        <v>165.04500000000002</v>
      </c>
      <c r="AC70" s="1">
        <v>29893.52</v>
      </c>
      <c r="AD70" s="1">
        <f t="shared" si="18"/>
        <v>7473.38</v>
      </c>
      <c r="AE70" s="1">
        <f t="shared" si="19"/>
        <v>425982.66000000003</v>
      </c>
      <c r="AF70" s="1">
        <v>3193.93</v>
      </c>
      <c r="AG70" s="1">
        <f t="shared" si="20"/>
        <v>798.48249999999996</v>
      </c>
      <c r="AH70" s="1">
        <f t="shared" si="21"/>
        <v>7984.8249999999998</v>
      </c>
      <c r="AI70" s="1">
        <v>8930.84</v>
      </c>
      <c r="AJ70" s="1">
        <f t="shared" si="22"/>
        <v>2232.71</v>
      </c>
      <c r="AK70" s="5">
        <f t="shared" si="23"/>
        <v>40188.78</v>
      </c>
      <c r="AL70" s="6">
        <f t="shared" si="24"/>
        <v>14308.45</v>
      </c>
      <c r="AM70" s="6">
        <f t="shared" si="24"/>
        <v>2895691.6075000004</v>
      </c>
      <c r="AN70" s="6">
        <f t="shared" si="25"/>
        <v>202.3763305948583</v>
      </c>
      <c r="AO70" s="6">
        <f t="shared" si="26"/>
        <v>0.20237633059485829</v>
      </c>
    </row>
    <row r="71" spans="1:41" ht="14" x14ac:dyDescent="0.15">
      <c r="A71" s="1" t="s">
        <v>68</v>
      </c>
      <c r="B71" s="1">
        <v>3669.12</v>
      </c>
      <c r="C71" s="1">
        <f t="shared" si="0"/>
        <v>917.28</v>
      </c>
      <c r="D71" s="1">
        <f t="shared" si="1"/>
        <v>255003.84</v>
      </c>
      <c r="E71" s="1">
        <v>5118.07</v>
      </c>
      <c r="F71" s="1">
        <f t="shared" si="2"/>
        <v>1279.5174999999999</v>
      </c>
      <c r="G71" s="1">
        <f t="shared" si="3"/>
        <v>1440736.7049999998</v>
      </c>
      <c r="H71" s="1">
        <v>3333.1</v>
      </c>
      <c r="I71" s="1">
        <f t="shared" si="4"/>
        <v>833.27499999999998</v>
      </c>
      <c r="J71" s="1">
        <f t="shared" si="5"/>
        <v>364141.17499999999</v>
      </c>
      <c r="K71" s="1">
        <v>2062.1799999999998</v>
      </c>
      <c r="L71" s="1">
        <f t="shared" si="6"/>
        <v>515.54499999999996</v>
      </c>
      <c r="M71" s="1">
        <f t="shared" si="7"/>
        <v>486158.93499999994</v>
      </c>
      <c r="N71" s="1">
        <v>342.17</v>
      </c>
      <c r="O71" s="1">
        <f t="shared" si="8"/>
        <v>85.542500000000004</v>
      </c>
      <c r="P71" s="1">
        <f t="shared" si="9"/>
        <v>79468.982499999998</v>
      </c>
      <c r="Q71" s="1">
        <v>28.91</v>
      </c>
      <c r="R71" s="1">
        <f t="shared" si="10"/>
        <v>7.2275</v>
      </c>
      <c r="S71" s="1">
        <f t="shared" si="11"/>
        <v>1170.855</v>
      </c>
      <c r="T71" s="1">
        <v>68.11</v>
      </c>
      <c r="U71" s="1">
        <f t="shared" si="12"/>
        <v>17.0275</v>
      </c>
      <c r="V71" s="1">
        <f t="shared" si="13"/>
        <v>425.6875</v>
      </c>
      <c r="W71" s="1">
        <v>1151.78</v>
      </c>
      <c r="X71" s="1">
        <f t="shared" si="14"/>
        <v>287.94499999999999</v>
      </c>
      <c r="Y71" s="1">
        <f t="shared" si="15"/>
        <v>863.83500000000004</v>
      </c>
      <c r="Z71" s="1">
        <v>303.08</v>
      </c>
      <c r="AA71" s="1">
        <f t="shared" si="16"/>
        <v>75.77</v>
      </c>
      <c r="AB71" s="1">
        <f t="shared" si="17"/>
        <v>227.31</v>
      </c>
      <c r="AC71" s="1">
        <v>28204.14</v>
      </c>
      <c r="AD71" s="1">
        <f t="shared" si="18"/>
        <v>7051.0349999999999</v>
      </c>
      <c r="AE71" s="1">
        <f t="shared" si="19"/>
        <v>401908.995</v>
      </c>
      <c r="AF71" s="1">
        <v>3213.9</v>
      </c>
      <c r="AG71" s="1">
        <f t="shared" si="20"/>
        <v>803.47500000000002</v>
      </c>
      <c r="AH71" s="1">
        <f t="shared" si="21"/>
        <v>8034.75</v>
      </c>
      <c r="AI71" s="1">
        <v>9225.44</v>
      </c>
      <c r="AJ71" s="1">
        <f t="shared" si="22"/>
        <v>2306.36</v>
      </c>
      <c r="AK71" s="5">
        <f t="shared" si="23"/>
        <v>41514.480000000003</v>
      </c>
      <c r="AL71" s="6">
        <f t="shared" si="24"/>
        <v>14180.000000000002</v>
      </c>
      <c r="AM71" s="6">
        <f t="shared" si="24"/>
        <v>3079655.55</v>
      </c>
      <c r="AN71" s="6">
        <f t="shared" si="25"/>
        <v>217.18304301833564</v>
      </c>
      <c r="AO71" s="6">
        <f t="shared" si="26"/>
        <v>0.21718304301833563</v>
      </c>
    </row>
    <row r="72" spans="1:41" ht="14" x14ac:dyDescent="0.15">
      <c r="A72" s="1" t="s">
        <v>69</v>
      </c>
      <c r="B72" s="1">
        <v>3717.59</v>
      </c>
      <c r="C72" s="1">
        <f t="shared" ref="C72:C102" si="27">B72*0.25</f>
        <v>929.39750000000004</v>
      </c>
      <c r="D72" s="1">
        <f t="shared" ref="D72:D102" si="28">C72*$C$4</f>
        <v>258372.505</v>
      </c>
      <c r="E72" s="1">
        <v>5360.73</v>
      </c>
      <c r="F72" s="1">
        <f t="shared" ref="F72:F102" si="29">E72*0.25</f>
        <v>1340.1824999999999</v>
      </c>
      <c r="G72" s="1">
        <f t="shared" ref="G72:G102" si="30">F72*$F$4</f>
        <v>1509045.4949999999</v>
      </c>
      <c r="H72" s="1">
        <v>3466.28</v>
      </c>
      <c r="I72" s="1">
        <f t="shared" ref="I72:I102" si="31">H72*0.25</f>
        <v>866.57</v>
      </c>
      <c r="J72" s="1">
        <f t="shared" ref="J72:J102" si="32">I72*$I$4</f>
        <v>378691.09</v>
      </c>
      <c r="K72" s="1">
        <v>2145.63</v>
      </c>
      <c r="L72" s="1">
        <f t="shared" ref="L72:L102" si="33">K72*0.25</f>
        <v>536.40750000000003</v>
      </c>
      <c r="M72" s="1">
        <f t="shared" ref="M72:M102" si="34">L72*$L$4</f>
        <v>505832.27250000002</v>
      </c>
      <c r="N72" s="1">
        <v>342.3</v>
      </c>
      <c r="O72" s="1">
        <f t="shared" ref="O72:O102" si="35">N72*0.25</f>
        <v>85.575000000000003</v>
      </c>
      <c r="P72" s="1">
        <f t="shared" ref="P72:P102" si="36">O72*$O$4</f>
        <v>79499.175000000003</v>
      </c>
      <c r="Q72" s="1">
        <v>28.85</v>
      </c>
      <c r="R72" s="1">
        <f t="shared" ref="R72:R102" si="37">Q72*0.25</f>
        <v>7.2125000000000004</v>
      </c>
      <c r="S72" s="1">
        <f t="shared" ref="S72:S102" si="38">R72*$R$4</f>
        <v>1168.425</v>
      </c>
      <c r="T72" s="1">
        <v>107.44</v>
      </c>
      <c r="U72" s="1">
        <f t="shared" ref="U72:U102" si="39">T72*0.25</f>
        <v>26.86</v>
      </c>
      <c r="V72" s="1">
        <f t="shared" ref="V72:V102" si="40">U72*$U$4</f>
        <v>671.5</v>
      </c>
      <c r="W72" s="1">
        <v>1146.1600000000001</v>
      </c>
      <c r="X72" s="1">
        <f t="shared" ref="X72:X102" si="41">W72*0.25</f>
        <v>286.54000000000002</v>
      </c>
      <c r="Y72" s="1">
        <f t="shared" ref="Y72:Y102" si="42">X72*$X$4</f>
        <v>859.62000000000012</v>
      </c>
      <c r="Z72" s="1">
        <v>229.24</v>
      </c>
      <c r="AA72" s="1">
        <f t="shared" ref="AA72:AA102" si="43">Z72*0.25</f>
        <v>57.31</v>
      </c>
      <c r="AB72" s="1">
        <f t="shared" ref="AB72:AB102" si="44">AA72*$AA$4</f>
        <v>171.93</v>
      </c>
      <c r="AC72" s="1">
        <v>26376.94</v>
      </c>
      <c r="AD72" s="1">
        <f t="shared" ref="AD72:AD102" si="45">AC72*0.25</f>
        <v>6594.2349999999997</v>
      </c>
      <c r="AE72" s="1">
        <f t="shared" ref="AE72:AE102" si="46">AD72*$AD$4</f>
        <v>375871.39499999996</v>
      </c>
      <c r="AF72" s="1">
        <v>3497.07</v>
      </c>
      <c r="AG72" s="1">
        <f t="shared" ref="AG72:AG102" si="47">AF72*0.25</f>
        <v>874.26750000000004</v>
      </c>
      <c r="AH72" s="1">
        <f t="shared" ref="AH72:AH102" si="48">AG72*$AG$4</f>
        <v>8742.6750000000011</v>
      </c>
      <c r="AI72" s="1">
        <v>9804.5499999999993</v>
      </c>
      <c r="AJ72" s="1">
        <f t="shared" ref="AJ72:AJ102" si="49">AI72*0.25</f>
        <v>2451.1374999999998</v>
      </c>
      <c r="AK72" s="5">
        <f t="shared" ref="AK72:AK102" si="50">AJ72*$AJ$4</f>
        <v>44120.474999999999</v>
      </c>
      <c r="AL72" s="6">
        <f t="shared" ref="AL72:AM102" si="51">C72+F72+I72+L72+O72+R72+U72+X72+AA72+AD72+AG72+AJ72</f>
        <v>14055.695</v>
      </c>
      <c r="AM72" s="6">
        <f t="shared" si="51"/>
        <v>3163046.5574999996</v>
      </c>
      <c r="AN72" s="6">
        <f t="shared" ref="AN72:AN102" si="52">AM72/AL72</f>
        <v>225.03665293676335</v>
      </c>
      <c r="AO72" s="6">
        <f t="shared" ref="AO72:AO102" si="53">AN72/1000</f>
        <v>0.22503665293676334</v>
      </c>
    </row>
    <row r="73" spans="1:41" ht="14" x14ac:dyDescent="0.15">
      <c r="A73" s="1" t="s">
        <v>70</v>
      </c>
      <c r="B73" s="1">
        <v>3738.43</v>
      </c>
      <c r="C73" s="1">
        <f t="shared" si="27"/>
        <v>934.60749999999996</v>
      </c>
      <c r="D73" s="1">
        <f t="shared" si="28"/>
        <v>259820.88499999998</v>
      </c>
      <c r="E73" s="1">
        <v>5554.37</v>
      </c>
      <c r="F73" s="1">
        <f t="shared" si="29"/>
        <v>1388.5925</v>
      </c>
      <c r="G73" s="1">
        <f t="shared" si="30"/>
        <v>1563555.155</v>
      </c>
      <c r="H73" s="1">
        <v>3519.24</v>
      </c>
      <c r="I73" s="1">
        <f t="shared" si="31"/>
        <v>879.81</v>
      </c>
      <c r="J73" s="1">
        <f t="shared" si="32"/>
        <v>384476.97</v>
      </c>
      <c r="K73" s="1">
        <v>2421.21</v>
      </c>
      <c r="L73" s="1">
        <f t="shared" si="33"/>
        <v>605.30250000000001</v>
      </c>
      <c r="M73" s="1">
        <f t="shared" si="34"/>
        <v>570800.25750000007</v>
      </c>
      <c r="N73" s="1">
        <v>342.3</v>
      </c>
      <c r="O73" s="1">
        <f t="shared" si="35"/>
        <v>85.575000000000003</v>
      </c>
      <c r="P73" s="1">
        <f t="shared" si="36"/>
        <v>79499.175000000003</v>
      </c>
      <c r="Q73" s="1">
        <v>29.02</v>
      </c>
      <c r="R73" s="1">
        <f t="shared" si="37"/>
        <v>7.2549999999999999</v>
      </c>
      <c r="S73" s="1">
        <f t="shared" si="38"/>
        <v>1175.31</v>
      </c>
      <c r="T73" s="1">
        <v>97.73</v>
      </c>
      <c r="U73" s="1">
        <f t="shared" si="39"/>
        <v>24.432500000000001</v>
      </c>
      <c r="V73" s="1">
        <f t="shared" si="40"/>
        <v>610.8125</v>
      </c>
      <c r="W73" s="1">
        <v>1121.94</v>
      </c>
      <c r="X73" s="1">
        <f t="shared" si="41"/>
        <v>280.48500000000001</v>
      </c>
      <c r="Y73" s="1">
        <f t="shared" si="42"/>
        <v>841.45500000000004</v>
      </c>
      <c r="Z73" s="1">
        <v>247.53</v>
      </c>
      <c r="AA73" s="1">
        <f t="shared" si="43"/>
        <v>61.8825</v>
      </c>
      <c r="AB73" s="1">
        <f t="shared" si="44"/>
        <v>185.64750000000001</v>
      </c>
      <c r="AC73" s="1">
        <v>24633.7</v>
      </c>
      <c r="AD73" s="1">
        <f t="shared" si="45"/>
        <v>6158.4250000000002</v>
      </c>
      <c r="AE73" s="1">
        <f t="shared" si="46"/>
        <v>351030.22500000003</v>
      </c>
      <c r="AF73" s="1">
        <v>3698.79</v>
      </c>
      <c r="AG73" s="1">
        <f t="shared" si="47"/>
        <v>924.69749999999999</v>
      </c>
      <c r="AH73" s="1">
        <f t="shared" si="48"/>
        <v>9246.9750000000004</v>
      </c>
      <c r="AI73" s="1">
        <v>10438.82</v>
      </c>
      <c r="AJ73" s="1">
        <f t="shared" si="49"/>
        <v>2609.7049999999999</v>
      </c>
      <c r="AK73" s="5">
        <f t="shared" si="50"/>
        <v>46974.69</v>
      </c>
      <c r="AL73" s="6">
        <f t="shared" si="51"/>
        <v>13960.77</v>
      </c>
      <c r="AM73" s="6">
        <f t="shared" si="51"/>
        <v>3268217.5575000001</v>
      </c>
      <c r="AN73" s="6">
        <f t="shared" si="52"/>
        <v>234.10009315388766</v>
      </c>
      <c r="AO73" s="6">
        <f t="shared" si="53"/>
        <v>0.23410009315388766</v>
      </c>
    </row>
    <row r="74" spans="1:41" ht="14" x14ac:dyDescent="0.15">
      <c r="A74" s="1" t="s">
        <v>71</v>
      </c>
      <c r="B74" s="1">
        <v>3762.77</v>
      </c>
      <c r="C74" s="1">
        <f t="shared" si="27"/>
        <v>940.6925</v>
      </c>
      <c r="D74" s="1">
        <f t="shared" si="28"/>
        <v>261512.51499999998</v>
      </c>
      <c r="E74" s="1">
        <v>5931.4</v>
      </c>
      <c r="F74" s="1">
        <f t="shared" si="29"/>
        <v>1482.85</v>
      </c>
      <c r="G74" s="1">
        <f t="shared" si="30"/>
        <v>1669689.0999999999</v>
      </c>
      <c r="H74" s="1">
        <v>3652.35</v>
      </c>
      <c r="I74" s="1">
        <f t="shared" si="31"/>
        <v>913.08749999999998</v>
      </c>
      <c r="J74" s="1">
        <f t="shared" si="32"/>
        <v>399019.23749999999</v>
      </c>
      <c r="K74" s="1">
        <v>2929.06</v>
      </c>
      <c r="L74" s="1">
        <f t="shared" si="33"/>
        <v>732.26499999999999</v>
      </c>
      <c r="M74" s="1">
        <f t="shared" si="34"/>
        <v>690525.89500000002</v>
      </c>
      <c r="N74" s="1">
        <v>342.17</v>
      </c>
      <c r="O74" s="1">
        <f t="shared" si="35"/>
        <v>85.542500000000004</v>
      </c>
      <c r="P74" s="1">
        <f t="shared" si="36"/>
        <v>79468.982499999998</v>
      </c>
      <c r="Q74" s="1">
        <v>28.84</v>
      </c>
      <c r="R74" s="1">
        <f t="shared" si="37"/>
        <v>7.21</v>
      </c>
      <c r="S74" s="1">
        <f t="shared" si="38"/>
        <v>1168.02</v>
      </c>
      <c r="T74" s="1">
        <v>71.23</v>
      </c>
      <c r="U74" s="1">
        <f t="shared" si="39"/>
        <v>17.807500000000001</v>
      </c>
      <c r="V74" s="1">
        <f t="shared" si="40"/>
        <v>445.1875</v>
      </c>
      <c r="W74" s="1">
        <v>1119.46</v>
      </c>
      <c r="X74" s="1">
        <f t="shared" si="41"/>
        <v>279.86500000000001</v>
      </c>
      <c r="Y74" s="1">
        <f t="shared" si="42"/>
        <v>839.59500000000003</v>
      </c>
      <c r="Z74" s="1">
        <v>224.51</v>
      </c>
      <c r="AA74" s="1">
        <f t="shared" si="43"/>
        <v>56.127499999999998</v>
      </c>
      <c r="AB74" s="1">
        <f t="shared" si="44"/>
        <v>168.38249999999999</v>
      </c>
      <c r="AC74" s="1">
        <v>22659.74</v>
      </c>
      <c r="AD74" s="1">
        <f t="shared" si="45"/>
        <v>5664.9350000000004</v>
      </c>
      <c r="AE74" s="1">
        <f t="shared" si="46"/>
        <v>322901.29500000004</v>
      </c>
      <c r="AF74" s="1">
        <v>4086.84</v>
      </c>
      <c r="AG74" s="1">
        <f t="shared" si="47"/>
        <v>1021.71</v>
      </c>
      <c r="AH74" s="1">
        <f t="shared" si="48"/>
        <v>10217.1</v>
      </c>
      <c r="AI74" s="1">
        <v>10937.4</v>
      </c>
      <c r="AJ74" s="1">
        <f t="shared" si="49"/>
        <v>2734.35</v>
      </c>
      <c r="AK74" s="5">
        <f t="shared" si="50"/>
        <v>49218.299999999996</v>
      </c>
      <c r="AL74" s="6">
        <f t="shared" si="51"/>
        <v>13936.442499999999</v>
      </c>
      <c r="AM74" s="6">
        <f t="shared" si="51"/>
        <v>3485173.6099999994</v>
      </c>
      <c r="AN74" s="6">
        <f t="shared" si="52"/>
        <v>250.07627376929224</v>
      </c>
      <c r="AO74" s="6">
        <f t="shared" si="53"/>
        <v>0.25007627376929226</v>
      </c>
    </row>
    <row r="75" spans="1:41" ht="14" x14ac:dyDescent="0.15">
      <c r="A75" s="1" t="s">
        <v>72</v>
      </c>
      <c r="B75" s="1">
        <v>3845.55</v>
      </c>
      <c r="C75" s="1">
        <f t="shared" si="27"/>
        <v>961.38750000000005</v>
      </c>
      <c r="D75" s="1">
        <f t="shared" si="28"/>
        <v>267265.72500000003</v>
      </c>
      <c r="E75" s="1">
        <v>6709.57</v>
      </c>
      <c r="F75" s="1">
        <f t="shared" si="29"/>
        <v>1677.3924999999999</v>
      </c>
      <c r="G75" s="1">
        <f t="shared" si="30"/>
        <v>1888743.9549999998</v>
      </c>
      <c r="H75" s="1">
        <v>4098.22</v>
      </c>
      <c r="I75" s="1">
        <f t="shared" si="31"/>
        <v>1024.5550000000001</v>
      </c>
      <c r="J75" s="1">
        <f t="shared" si="32"/>
        <v>447730.53500000003</v>
      </c>
      <c r="K75" s="1">
        <v>3246.65</v>
      </c>
      <c r="L75" s="1">
        <f t="shared" si="33"/>
        <v>811.66250000000002</v>
      </c>
      <c r="M75" s="1">
        <f t="shared" si="34"/>
        <v>765397.73750000005</v>
      </c>
      <c r="N75" s="1">
        <v>342.17</v>
      </c>
      <c r="O75" s="1">
        <f t="shared" si="35"/>
        <v>85.542500000000004</v>
      </c>
      <c r="P75" s="1">
        <f t="shared" si="36"/>
        <v>79468.982499999998</v>
      </c>
      <c r="Q75" s="1">
        <v>28.79</v>
      </c>
      <c r="R75" s="1">
        <f t="shared" si="37"/>
        <v>7.1974999999999998</v>
      </c>
      <c r="S75" s="1">
        <f t="shared" si="38"/>
        <v>1165.9949999999999</v>
      </c>
      <c r="T75" s="1">
        <v>96.87</v>
      </c>
      <c r="U75" s="1">
        <f t="shared" si="39"/>
        <v>24.217500000000001</v>
      </c>
      <c r="V75" s="1">
        <f t="shared" si="40"/>
        <v>605.4375</v>
      </c>
      <c r="W75" s="1">
        <v>1138.08</v>
      </c>
      <c r="X75" s="1">
        <f t="shared" si="41"/>
        <v>284.52</v>
      </c>
      <c r="Y75" s="1">
        <f t="shared" si="42"/>
        <v>853.56</v>
      </c>
      <c r="Z75" s="1">
        <v>244.58</v>
      </c>
      <c r="AA75" s="1">
        <f t="shared" si="43"/>
        <v>61.145000000000003</v>
      </c>
      <c r="AB75" s="1">
        <f t="shared" si="44"/>
        <v>183.435</v>
      </c>
      <c r="AC75" s="1">
        <v>20391.03</v>
      </c>
      <c r="AD75" s="1">
        <f t="shared" si="45"/>
        <v>5097.7574999999997</v>
      </c>
      <c r="AE75" s="1">
        <f t="shared" si="46"/>
        <v>290572.17749999999</v>
      </c>
      <c r="AF75" s="1">
        <v>4173.4799999999996</v>
      </c>
      <c r="AG75" s="1">
        <f t="shared" si="47"/>
        <v>1043.3699999999999</v>
      </c>
      <c r="AH75" s="1">
        <f t="shared" si="48"/>
        <v>10433.699999999999</v>
      </c>
      <c r="AI75" s="1">
        <v>11344.69</v>
      </c>
      <c r="AJ75" s="1">
        <f t="shared" si="49"/>
        <v>2836.1725000000001</v>
      </c>
      <c r="AK75" s="5">
        <f t="shared" si="50"/>
        <v>51051.105000000003</v>
      </c>
      <c r="AL75" s="6">
        <f t="shared" si="51"/>
        <v>13914.920000000002</v>
      </c>
      <c r="AM75" s="6">
        <f t="shared" si="51"/>
        <v>3803472.3450000002</v>
      </c>
      <c r="AN75" s="6">
        <f t="shared" si="52"/>
        <v>273.3377083734581</v>
      </c>
      <c r="AO75" s="6">
        <f t="shared" si="53"/>
        <v>0.27333770837345811</v>
      </c>
    </row>
    <row r="76" spans="1:41" ht="14" x14ac:dyDescent="0.15">
      <c r="A76" s="1" t="s">
        <v>73</v>
      </c>
      <c r="B76" s="1">
        <v>3885.77</v>
      </c>
      <c r="C76" s="1">
        <f t="shared" si="27"/>
        <v>971.4425</v>
      </c>
      <c r="D76" s="1">
        <f t="shared" si="28"/>
        <v>270061.01500000001</v>
      </c>
      <c r="E76" s="1">
        <v>7464.28</v>
      </c>
      <c r="F76" s="1">
        <f t="shared" si="29"/>
        <v>1866.07</v>
      </c>
      <c r="G76" s="1">
        <f t="shared" si="30"/>
        <v>2101194.8199999998</v>
      </c>
      <c r="H76" s="1">
        <v>4293.6400000000003</v>
      </c>
      <c r="I76" s="1">
        <f t="shared" si="31"/>
        <v>1073.4100000000001</v>
      </c>
      <c r="J76" s="1">
        <f t="shared" si="32"/>
        <v>469080.17000000004</v>
      </c>
      <c r="K76" s="1">
        <v>3445.84</v>
      </c>
      <c r="L76" s="1">
        <f t="shared" si="33"/>
        <v>861.46</v>
      </c>
      <c r="M76" s="1">
        <f t="shared" si="34"/>
        <v>812356.78</v>
      </c>
      <c r="N76" s="1">
        <v>342.17</v>
      </c>
      <c r="O76" s="1">
        <f t="shared" si="35"/>
        <v>85.542500000000004</v>
      </c>
      <c r="P76" s="1">
        <f t="shared" si="36"/>
        <v>79468.982499999998</v>
      </c>
      <c r="Q76" s="1">
        <v>28.85</v>
      </c>
      <c r="R76" s="1">
        <f t="shared" si="37"/>
        <v>7.2125000000000004</v>
      </c>
      <c r="S76" s="1">
        <f t="shared" si="38"/>
        <v>1168.425</v>
      </c>
      <c r="T76" s="1">
        <v>164.4</v>
      </c>
      <c r="U76" s="1">
        <f t="shared" si="39"/>
        <v>41.1</v>
      </c>
      <c r="V76" s="1">
        <f t="shared" si="40"/>
        <v>1027.5</v>
      </c>
      <c r="W76" s="1">
        <v>1139.3900000000001</v>
      </c>
      <c r="X76" s="1">
        <f t="shared" si="41"/>
        <v>284.84750000000003</v>
      </c>
      <c r="Y76" s="1">
        <f t="shared" si="42"/>
        <v>854.54250000000002</v>
      </c>
      <c r="Z76" s="1">
        <v>279.11</v>
      </c>
      <c r="AA76" s="1">
        <f t="shared" si="43"/>
        <v>69.777500000000003</v>
      </c>
      <c r="AB76" s="1">
        <f t="shared" si="44"/>
        <v>209.33250000000001</v>
      </c>
      <c r="AC76" s="1">
        <v>18201.75</v>
      </c>
      <c r="AD76" s="1">
        <f t="shared" si="45"/>
        <v>4550.4375</v>
      </c>
      <c r="AE76" s="1">
        <f t="shared" si="46"/>
        <v>259374.9375</v>
      </c>
      <c r="AF76" s="1">
        <v>4326.09</v>
      </c>
      <c r="AG76" s="1">
        <f t="shared" si="47"/>
        <v>1081.5225</v>
      </c>
      <c r="AH76" s="1">
        <f t="shared" si="48"/>
        <v>10815.225</v>
      </c>
      <c r="AI76" s="1">
        <v>11764.1</v>
      </c>
      <c r="AJ76" s="1">
        <f t="shared" si="49"/>
        <v>2941.0250000000001</v>
      </c>
      <c r="AK76" s="5">
        <f t="shared" si="50"/>
        <v>52938.450000000004</v>
      </c>
      <c r="AL76" s="6">
        <f t="shared" si="51"/>
        <v>13833.847499999998</v>
      </c>
      <c r="AM76" s="6">
        <f t="shared" si="51"/>
        <v>4058550.18</v>
      </c>
      <c r="AN76" s="6">
        <f t="shared" si="52"/>
        <v>293.37826515725294</v>
      </c>
      <c r="AO76" s="6">
        <f t="shared" si="53"/>
        <v>0.29337826515725296</v>
      </c>
    </row>
    <row r="77" spans="1:41" ht="14" x14ac:dyDescent="0.15">
      <c r="A77" s="1" t="s">
        <v>74</v>
      </c>
      <c r="B77" s="1">
        <v>3928.24</v>
      </c>
      <c r="C77" s="1">
        <f t="shared" si="27"/>
        <v>982.06</v>
      </c>
      <c r="D77" s="1">
        <f t="shared" si="28"/>
        <v>273012.68</v>
      </c>
      <c r="E77" s="1">
        <v>7971.28</v>
      </c>
      <c r="F77" s="1">
        <f t="shared" si="29"/>
        <v>1992.82</v>
      </c>
      <c r="G77" s="1">
        <f t="shared" si="30"/>
        <v>2243915.3199999998</v>
      </c>
      <c r="H77" s="1">
        <v>4407.0600000000004</v>
      </c>
      <c r="I77" s="1">
        <f t="shared" si="31"/>
        <v>1101.7650000000001</v>
      </c>
      <c r="J77" s="1">
        <f t="shared" si="32"/>
        <v>481471.30500000005</v>
      </c>
      <c r="K77" s="1">
        <v>3695.17</v>
      </c>
      <c r="L77" s="1">
        <f t="shared" si="33"/>
        <v>923.79250000000002</v>
      </c>
      <c r="M77" s="1">
        <f t="shared" si="34"/>
        <v>871136.32750000001</v>
      </c>
      <c r="N77" s="1">
        <v>342.31</v>
      </c>
      <c r="O77" s="1">
        <f t="shared" si="35"/>
        <v>85.577500000000001</v>
      </c>
      <c r="P77" s="1">
        <f t="shared" si="36"/>
        <v>79501.497499999998</v>
      </c>
      <c r="Q77" s="1">
        <v>28.93</v>
      </c>
      <c r="R77" s="1">
        <f t="shared" si="37"/>
        <v>7.2324999999999999</v>
      </c>
      <c r="S77" s="1">
        <f t="shared" si="38"/>
        <v>1171.665</v>
      </c>
      <c r="T77" s="1">
        <v>197.99</v>
      </c>
      <c r="U77" s="1">
        <f t="shared" si="39"/>
        <v>49.497500000000002</v>
      </c>
      <c r="V77" s="1">
        <f t="shared" si="40"/>
        <v>1237.4375</v>
      </c>
      <c r="W77" s="1">
        <v>1118.57</v>
      </c>
      <c r="X77" s="1">
        <f t="shared" si="41"/>
        <v>279.64249999999998</v>
      </c>
      <c r="Y77" s="1">
        <f t="shared" si="42"/>
        <v>838.92750000000001</v>
      </c>
      <c r="Z77" s="1">
        <v>223</v>
      </c>
      <c r="AA77" s="1">
        <f t="shared" si="43"/>
        <v>55.75</v>
      </c>
      <c r="AB77" s="1">
        <f t="shared" si="44"/>
        <v>167.25</v>
      </c>
      <c r="AC77" s="1">
        <v>15889.99</v>
      </c>
      <c r="AD77" s="1">
        <f t="shared" si="45"/>
        <v>3972.4974999999999</v>
      </c>
      <c r="AE77" s="1">
        <f t="shared" si="46"/>
        <v>226432.35749999998</v>
      </c>
      <c r="AF77" s="1">
        <v>4474.33</v>
      </c>
      <c r="AG77" s="1">
        <f t="shared" si="47"/>
        <v>1118.5825</v>
      </c>
      <c r="AH77" s="1">
        <f t="shared" si="48"/>
        <v>11185.825000000001</v>
      </c>
      <c r="AI77" s="1">
        <v>12271.79</v>
      </c>
      <c r="AJ77" s="1">
        <f t="shared" si="49"/>
        <v>3067.9475000000002</v>
      </c>
      <c r="AK77" s="5">
        <f t="shared" si="50"/>
        <v>55223.055000000008</v>
      </c>
      <c r="AL77" s="6">
        <f t="shared" si="51"/>
        <v>13637.165000000001</v>
      </c>
      <c r="AM77" s="6">
        <f t="shared" si="51"/>
        <v>4245293.6475000009</v>
      </c>
      <c r="AN77" s="6">
        <f t="shared" si="52"/>
        <v>311.30323989626879</v>
      </c>
      <c r="AO77" s="6">
        <f t="shared" si="53"/>
        <v>0.31130323989626879</v>
      </c>
    </row>
    <row r="78" spans="1:41" ht="14" x14ac:dyDescent="0.15">
      <c r="A78" s="1" t="s">
        <v>75</v>
      </c>
      <c r="B78" s="1">
        <v>3974.21</v>
      </c>
      <c r="C78" s="1">
        <f t="shared" si="27"/>
        <v>993.55250000000001</v>
      </c>
      <c r="D78" s="1">
        <f t="shared" si="28"/>
        <v>276207.59500000003</v>
      </c>
      <c r="E78" s="1">
        <v>8461.7000000000007</v>
      </c>
      <c r="F78" s="1">
        <f t="shared" si="29"/>
        <v>2115.4250000000002</v>
      </c>
      <c r="G78" s="1">
        <f t="shared" si="30"/>
        <v>2381968.5500000003</v>
      </c>
      <c r="H78" s="1">
        <v>4741.47</v>
      </c>
      <c r="I78" s="1">
        <f t="shared" si="31"/>
        <v>1185.3675000000001</v>
      </c>
      <c r="J78" s="1">
        <f t="shared" si="32"/>
        <v>518005.59750000003</v>
      </c>
      <c r="K78" s="1">
        <v>4007.47</v>
      </c>
      <c r="L78" s="1">
        <f t="shared" si="33"/>
        <v>1001.8674999999999</v>
      </c>
      <c r="M78" s="1">
        <f t="shared" si="34"/>
        <v>944761.05249999999</v>
      </c>
      <c r="N78" s="1">
        <v>342.3</v>
      </c>
      <c r="O78" s="1">
        <f t="shared" si="35"/>
        <v>85.575000000000003</v>
      </c>
      <c r="P78" s="1">
        <f t="shared" si="36"/>
        <v>79499.175000000003</v>
      </c>
      <c r="Q78" s="1">
        <v>28.94</v>
      </c>
      <c r="R78" s="1">
        <f t="shared" si="37"/>
        <v>7.2350000000000003</v>
      </c>
      <c r="S78" s="1">
        <f t="shared" si="38"/>
        <v>1172.0700000000002</v>
      </c>
      <c r="T78" s="1">
        <v>395.09</v>
      </c>
      <c r="U78" s="1">
        <f t="shared" si="39"/>
        <v>98.772499999999994</v>
      </c>
      <c r="V78" s="1">
        <f t="shared" si="40"/>
        <v>2469.3125</v>
      </c>
      <c r="W78" s="1">
        <v>1111.6400000000001</v>
      </c>
      <c r="X78" s="1">
        <f t="shared" si="41"/>
        <v>277.91000000000003</v>
      </c>
      <c r="Y78" s="1">
        <f t="shared" si="42"/>
        <v>833.73</v>
      </c>
      <c r="Z78" s="1">
        <v>289.45</v>
      </c>
      <c r="AA78" s="1">
        <f t="shared" si="43"/>
        <v>72.362499999999997</v>
      </c>
      <c r="AB78" s="1">
        <f t="shared" si="44"/>
        <v>217.08749999999998</v>
      </c>
      <c r="AC78" s="1">
        <v>13556.3</v>
      </c>
      <c r="AD78" s="1">
        <f t="shared" si="45"/>
        <v>3389.0749999999998</v>
      </c>
      <c r="AE78" s="1">
        <f t="shared" si="46"/>
        <v>193177.27499999999</v>
      </c>
      <c r="AF78" s="1">
        <v>4715.51</v>
      </c>
      <c r="AG78" s="1">
        <f t="shared" si="47"/>
        <v>1178.8775000000001</v>
      </c>
      <c r="AH78" s="1">
        <f t="shared" si="48"/>
        <v>11788.775000000001</v>
      </c>
      <c r="AI78" s="1">
        <v>12507.67</v>
      </c>
      <c r="AJ78" s="1">
        <f t="shared" si="49"/>
        <v>3126.9175</v>
      </c>
      <c r="AK78" s="5">
        <f t="shared" si="50"/>
        <v>56284.514999999999</v>
      </c>
      <c r="AL78" s="6">
        <f t="shared" si="51"/>
        <v>13532.9375</v>
      </c>
      <c r="AM78" s="6">
        <f t="shared" si="51"/>
        <v>4466384.7350000022</v>
      </c>
      <c r="AN78" s="6">
        <f t="shared" si="52"/>
        <v>330.03808190202625</v>
      </c>
      <c r="AO78" s="6">
        <f t="shared" si="53"/>
        <v>0.33003808190202627</v>
      </c>
    </row>
    <row r="79" spans="1:41" ht="14" x14ac:dyDescent="0.15">
      <c r="A79" s="1" t="s">
        <v>76</v>
      </c>
      <c r="B79" s="1">
        <v>4125.95</v>
      </c>
      <c r="C79" s="1">
        <f t="shared" si="27"/>
        <v>1031.4875</v>
      </c>
      <c r="D79" s="1">
        <f t="shared" si="28"/>
        <v>286753.52499999997</v>
      </c>
      <c r="E79" s="1">
        <v>8750.01</v>
      </c>
      <c r="F79" s="1">
        <f t="shared" si="29"/>
        <v>2187.5025000000001</v>
      </c>
      <c r="G79" s="1">
        <f t="shared" si="30"/>
        <v>2463127.8149999999</v>
      </c>
      <c r="H79" s="1">
        <v>5690.81</v>
      </c>
      <c r="I79" s="1">
        <f t="shared" si="31"/>
        <v>1422.7025000000001</v>
      </c>
      <c r="J79" s="1">
        <f t="shared" si="32"/>
        <v>621720.99250000005</v>
      </c>
      <c r="K79" s="1">
        <v>4399.2700000000004</v>
      </c>
      <c r="L79" s="1">
        <f t="shared" si="33"/>
        <v>1099.8175000000001</v>
      </c>
      <c r="M79" s="1">
        <f t="shared" si="34"/>
        <v>1037127.9025000001</v>
      </c>
      <c r="N79" s="1">
        <v>342.17</v>
      </c>
      <c r="O79" s="1">
        <f t="shared" si="35"/>
        <v>85.542500000000004</v>
      </c>
      <c r="P79" s="1">
        <f t="shared" si="36"/>
        <v>79468.982499999998</v>
      </c>
      <c r="Q79" s="1">
        <v>28.98</v>
      </c>
      <c r="R79" s="1">
        <f t="shared" si="37"/>
        <v>7.2450000000000001</v>
      </c>
      <c r="S79" s="1">
        <f t="shared" si="38"/>
        <v>1173.69</v>
      </c>
      <c r="T79" s="1">
        <v>175.2</v>
      </c>
      <c r="U79" s="1">
        <f t="shared" si="39"/>
        <v>43.8</v>
      </c>
      <c r="V79" s="1">
        <f t="shared" si="40"/>
        <v>1095</v>
      </c>
      <c r="W79" s="1">
        <v>1124.18</v>
      </c>
      <c r="X79" s="1">
        <f t="shared" si="41"/>
        <v>281.04500000000002</v>
      </c>
      <c r="Y79" s="1">
        <f t="shared" si="42"/>
        <v>843.13499999999999</v>
      </c>
      <c r="Z79" s="1">
        <v>118.16</v>
      </c>
      <c r="AA79" s="1">
        <f t="shared" si="43"/>
        <v>29.54</v>
      </c>
      <c r="AB79" s="1">
        <f t="shared" si="44"/>
        <v>88.62</v>
      </c>
      <c r="AC79" s="1">
        <v>11196.05</v>
      </c>
      <c r="AD79" s="1">
        <f t="shared" si="45"/>
        <v>2799.0124999999998</v>
      </c>
      <c r="AE79" s="1">
        <f t="shared" si="46"/>
        <v>159543.71249999999</v>
      </c>
      <c r="AF79" s="1">
        <v>4948.24</v>
      </c>
      <c r="AG79" s="1">
        <f t="shared" si="47"/>
        <v>1237.06</v>
      </c>
      <c r="AH79" s="1">
        <f t="shared" si="48"/>
        <v>12370.599999999999</v>
      </c>
      <c r="AI79" s="1">
        <v>12805.23</v>
      </c>
      <c r="AJ79" s="1">
        <f t="shared" si="49"/>
        <v>3201.3074999999999</v>
      </c>
      <c r="AK79" s="5">
        <f t="shared" si="50"/>
        <v>57623.534999999996</v>
      </c>
      <c r="AL79" s="6">
        <f t="shared" si="51"/>
        <v>13426.0625</v>
      </c>
      <c r="AM79" s="6">
        <f t="shared" si="51"/>
        <v>4720937.5100000007</v>
      </c>
      <c r="AN79" s="6">
        <f t="shared" si="52"/>
        <v>351.6248721469903</v>
      </c>
      <c r="AO79" s="6">
        <f t="shared" si="53"/>
        <v>0.35162487214699029</v>
      </c>
    </row>
    <row r="80" spans="1:41" ht="14" x14ac:dyDescent="0.15">
      <c r="A80" s="1" t="s">
        <v>77</v>
      </c>
      <c r="B80" s="1">
        <v>4215.22</v>
      </c>
      <c r="C80" s="1">
        <f t="shared" si="27"/>
        <v>1053.8050000000001</v>
      </c>
      <c r="D80" s="1">
        <f t="shared" si="28"/>
        <v>292957.79000000004</v>
      </c>
      <c r="E80" s="1">
        <v>9085.3799999999992</v>
      </c>
      <c r="F80" s="1">
        <f t="shared" si="29"/>
        <v>2271.3449999999998</v>
      </c>
      <c r="G80" s="1">
        <f t="shared" si="30"/>
        <v>2557534.4699999997</v>
      </c>
      <c r="H80" s="1">
        <v>6221.03</v>
      </c>
      <c r="I80" s="1">
        <f t="shared" si="31"/>
        <v>1555.2574999999999</v>
      </c>
      <c r="J80" s="1">
        <f t="shared" si="32"/>
        <v>679647.52749999997</v>
      </c>
      <c r="K80" s="1">
        <v>4738.29</v>
      </c>
      <c r="L80" s="1">
        <f t="shared" si="33"/>
        <v>1184.5725</v>
      </c>
      <c r="M80" s="1">
        <f t="shared" si="34"/>
        <v>1117051.8674999999</v>
      </c>
      <c r="N80" s="1">
        <v>342.17</v>
      </c>
      <c r="O80" s="1">
        <f t="shared" si="35"/>
        <v>85.542500000000004</v>
      </c>
      <c r="P80" s="1">
        <f t="shared" si="36"/>
        <v>79468.982499999998</v>
      </c>
      <c r="Q80" s="1">
        <v>29.17</v>
      </c>
      <c r="R80" s="1">
        <f t="shared" si="37"/>
        <v>7.2925000000000004</v>
      </c>
      <c r="S80" s="1">
        <f t="shared" si="38"/>
        <v>1181.385</v>
      </c>
      <c r="T80" s="1">
        <v>352.3</v>
      </c>
      <c r="U80" s="1">
        <f t="shared" si="39"/>
        <v>88.075000000000003</v>
      </c>
      <c r="V80" s="1">
        <f t="shared" si="40"/>
        <v>2201.875</v>
      </c>
      <c r="W80" s="1">
        <v>1112.8699999999999</v>
      </c>
      <c r="X80" s="1">
        <f t="shared" si="41"/>
        <v>278.21749999999997</v>
      </c>
      <c r="Y80" s="1">
        <f t="shared" si="42"/>
        <v>834.65249999999992</v>
      </c>
      <c r="Z80" s="1">
        <v>232.91</v>
      </c>
      <c r="AA80" s="1">
        <f t="shared" si="43"/>
        <v>58.227499999999999</v>
      </c>
      <c r="AB80" s="1">
        <f t="shared" si="44"/>
        <v>174.6825</v>
      </c>
      <c r="AC80" s="1">
        <v>8946</v>
      </c>
      <c r="AD80" s="1">
        <f t="shared" si="45"/>
        <v>2236.5</v>
      </c>
      <c r="AE80" s="1">
        <f t="shared" si="46"/>
        <v>127480.5</v>
      </c>
      <c r="AF80" s="1">
        <v>5036.8999999999996</v>
      </c>
      <c r="AG80" s="1">
        <f t="shared" si="47"/>
        <v>1259.2249999999999</v>
      </c>
      <c r="AH80" s="1">
        <f t="shared" si="48"/>
        <v>12592.25</v>
      </c>
      <c r="AI80" s="1">
        <v>12780.22</v>
      </c>
      <c r="AJ80" s="1">
        <f t="shared" si="49"/>
        <v>3195.0549999999998</v>
      </c>
      <c r="AK80" s="5">
        <f t="shared" si="50"/>
        <v>57510.99</v>
      </c>
      <c r="AL80" s="6">
        <f t="shared" si="51"/>
        <v>13273.115</v>
      </c>
      <c r="AM80" s="6">
        <f t="shared" si="51"/>
        <v>4928636.9724999992</v>
      </c>
      <c r="AN80" s="6">
        <f t="shared" si="52"/>
        <v>371.32481504906718</v>
      </c>
      <c r="AO80" s="6">
        <f t="shared" si="53"/>
        <v>0.37132481504906717</v>
      </c>
    </row>
    <row r="81" spans="1:41" ht="14" x14ac:dyDescent="0.15">
      <c r="A81" s="1" t="s">
        <v>78</v>
      </c>
      <c r="B81" s="1">
        <v>4298.8</v>
      </c>
      <c r="C81" s="1">
        <f t="shared" si="27"/>
        <v>1074.7</v>
      </c>
      <c r="D81" s="1">
        <f t="shared" si="28"/>
        <v>298766.60000000003</v>
      </c>
      <c r="E81" s="1">
        <v>9237.11</v>
      </c>
      <c r="F81" s="1">
        <f t="shared" si="29"/>
        <v>2309.2775000000001</v>
      </c>
      <c r="G81" s="1">
        <f t="shared" si="30"/>
        <v>2600246.4650000003</v>
      </c>
      <c r="H81" s="1">
        <v>6441.59</v>
      </c>
      <c r="I81" s="1">
        <f t="shared" si="31"/>
        <v>1610.3975</v>
      </c>
      <c r="J81" s="1">
        <f t="shared" si="32"/>
        <v>703743.70750000002</v>
      </c>
      <c r="K81" s="1">
        <v>5174.82</v>
      </c>
      <c r="L81" s="1">
        <f t="shared" si="33"/>
        <v>1293.7049999999999</v>
      </c>
      <c r="M81" s="1">
        <f t="shared" si="34"/>
        <v>1219963.8149999999</v>
      </c>
      <c r="N81" s="1">
        <v>342.56</v>
      </c>
      <c r="O81" s="1">
        <f t="shared" si="35"/>
        <v>85.64</v>
      </c>
      <c r="P81" s="1">
        <f t="shared" si="36"/>
        <v>79559.56</v>
      </c>
      <c r="Q81" s="1">
        <v>29.28</v>
      </c>
      <c r="R81" s="1">
        <f t="shared" si="37"/>
        <v>7.32</v>
      </c>
      <c r="S81" s="1">
        <f t="shared" si="38"/>
        <v>1185.8400000000001</v>
      </c>
      <c r="T81" s="1">
        <v>1776.2</v>
      </c>
      <c r="U81" s="1">
        <f t="shared" si="39"/>
        <v>444.05</v>
      </c>
      <c r="V81" s="1">
        <f t="shared" si="40"/>
        <v>11101.25</v>
      </c>
      <c r="W81" s="1">
        <v>1199.22</v>
      </c>
      <c r="X81" s="1">
        <f t="shared" si="41"/>
        <v>299.80500000000001</v>
      </c>
      <c r="Y81" s="1">
        <f t="shared" si="42"/>
        <v>899.41499999999996</v>
      </c>
      <c r="Z81" s="1">
        <v>258.2</v>
      </c>
      <c r="AA81" s="1">
        <f t="shared" si="43"/>
        <v>64.55</v>
      </c>
      <c r="AB81" s="1">
        <f t="shared" si="44"/>
        <v>193.64999999999998</v>
      </c>
      <c r="AC81" s="1">
        <v>6819.28</v>
      </c>
      <c r="AD81" s="1">
        <f t="shared" si="45"/>
        <v>1704.82</v>
      </c>
      <c r="AE81" s="1">
        <f t="shared" si="46"/>
        <v>97174.739999999991</v>
      </c>
      <c r="AF81" s="1">
        <v>4805.04</v>
      </c>
      <c r="AG81" s="1">
        <f t="shared" si="47"/>
        <v>1201.26</v>
      </c>
      <c r="AH81" s="1">
        <f t="shared" si="48"/>
        <v>12012.6</v>
      </c>
      <c r="AI81" s="1">
        <v>12967.93</v>
      </c>
      <c r="AJ81" s="1">
        <f t="shared" si="49"/>
        <v>3241.9825000000001</v>
      </c>
      <c r="AK81" s="5">
        <f t="shared" si="50"/>
        <v>58355.684999999998</v>
      </c>
      <c r="AL81" s="6">
        <f t="shared" si="51"/>
        <v>13337.507500000002</v>
      </c>
      <c r="AM81" s="6">
        <f t="shared" si="51"/>
        <v>5083203.3274999997</v>
      </c>
      <c r="AN81" s="6">
        <f t="shared" si="52"/>
        <v>381.120934889821</v>
      </c>
      <c r="AO81" s="6">
        <f t="shared" si="53"/>
        <v>0.38112093488982102</v>
      </c>
    </row>
    <row r="82" spans="1:41" ht="14" x14ac:dyDescent="0.15">
      <c r="A82" s="1" t="s">
        <v>79</v>
      </c>
      <c r="B82" s="1">
        <v>4377.2</v>
      </c>
      <c r="C82" s="1">
        <f t="shared" si="27"/>
        <v>1094.3</v>
      </c>
      <c r="D82" s="1">
        <f t="shared" si="28"/>
        <v>304215.39999999997</v>
      </c>
      <c r="E82" s="1">
        <v>9357.0400000000009</v>
      </c>
      <c r="F82" s="1">
        <f t="shared" si="29"/>
        <v>2339.2600000000002</v>
      </c>
      <c r="G82" s="1">
        <f t="shared" si="30"/>
        <v>2634006.7600000002</v>
      </c>
      <c r="H82" s="1">
        <v>6533.21</v>
      </c>
      <c r="I82" s="1">
        <f t="shared" si="31"/>
        <v>1633.3025</v>
      </c>
      <c r="J82" s="1">
        <f t="shared" si="32"/>
        <v>713753.1925</v>
      </c>
      <c r="K82" s="1">
        <v>5347.52</v>
      </c>
      <c r="L82" s="1">
        <f t="shared" si="33"/>
        <v>1336.88</v>
      </c>
      <c r="M82" s="1">
        <f t="shared" si="34"/>
        <v>1260677.8400000001</v>
      </c>
      <c r="N82" s="1">
        <v>342.17</v>
      </c>
      <c r="O82" s="1">
        <f t="shared" si="35"/>
        <v>85.542500000000004</v>
      </c>
      <c r="P82" s="1">
        <f t="shared" si="36"/>
        <v>79468.982499999998</v>
      </c>
      <c r="Q82" s="1">
        <v>29.33</v>
      </c>
      <c r="R82" s="1">
        <f t="shared" si="37"/>
        <v>7.3324999999999996</v>
      </c>
      <c r="S82" s="1">
        <f t="shared" si="38"/>
        <v>1187.865</v>
      </c>
      <c r="T82" s="1">
        <v>3200.22</v>
      </c>
      <c r="U82" s="1">
        <f t="shared" si="39"/>
        <v>800.05499999999995</v>
      </c>
      <c r="V82" s="1">
        <f t="shared" si="40"/>
        <v>20001.375</v>
      </c>
      <c r="W82" s="1">
        <v>1201.3</v>
      </c>
      <c r="X82" s="1">
        <f t="shared" si="41"/>
        <v>300.32499999999999</v>
      </c>
      <c r="Y82" s="1">
        <f t="shared" si="42"/>
        <v>900.97499999999991</v>
      </c>
      <c r="Z82" s="1">
        <v>247.06</v>
      </c>
      <c r="AA82" s="1">
        <f t="shared" si="43"/>
        <v>61.765000000000001</v>
      </c>
      <c r="AB82" s="1">
        <f t="shared" si="44"/>
        <v>185.29500000000002</v>
      </c>
      <c r="AC82" s="1">
        <v>4911.7299999999996</v>
      </c>
      <c r="AD82" s="1">
        <f t="shared" si="45"/>
        <v>1227.9324999999999</v>
      </c>
      <c r="AE82" s="1">
        <f t="shared" si="46"/>
        <v>69992.152499999997</v>
      </c>
      <c r="AF82" s="1">
        <v>4481.1499999999996</v>
      </c>
      <c r="AG82" s="1">
        <f t="shared" si="47"/>
        <v>1120.2874999999999</v>
      </c>
      <c r="AH82" s="1">
        <f t="shared" si="48"/>
        <v>11202.875</v>
      </c>
      <c r="AI82" s="1">
        <v>13191.86</v>
      </c>
      <c r="AJ82" s="1">
        <f t="shared" si="49"/>
        <v>3297.9650000000001</v>
      </c>
      <c r="AK82" s="5">
        <f t="shared" si="50"/>
        <v>59363.37</v>
      </c>
      <c r="AL82" s="6">
        <f t="shared" si="51"/>
        <v>13304.9475</v>
      </c>
      <c r="AM82" s="6">
        <f t="shared" si="51"/>
        <v>5154956.0824999996</v>
      </c>
      <c r="AN82" s="6">
        <f t="shared" si="52"/>
        <v>387.44655568915243</v>
      </c>
      <c r="AO82" s="6">
        <f t="shared" si="53"/>
        <v>0.38744655568915243</v>
      </c>
    </row>
    <row r="83" spans="1:41" ht="14" x14ac:dyDescent="0.15">
      <c r="A83" s="1" t="s">
        <v>80</v>
      </c>
      <c r="B83" s="1">
        <v>4461.4799999999996</v>
      </c>
      <c r="C83" s="1">
        <f t="shared" si="27"/>
        <v>1115.3699999999999</v>
      </c>
      <c r="D83" s="1">
        <f t="shared" si="28"/>
        <v>310072.86</v>
      </c>
      <c r="E83" s="1">
        <v>9417.4</v>
      </c>
      <c r="F83" s="1">
        <f t="shared" si="29"/>
        <v>2354.35</v>
      </c>
      <c r="G83" s="1">
        <f t="shared" si="30"/>
        <v>2650998.1</v>
      </c>
      <c r="H83" s="1">
        <v>7138.34</v>
      </c>
      <c r="I83" s="1">
        <f t="shared" si="31"/>
        <v>1784.585</v>
      </c>
      <c r="J83" s="1">
        <f t="shared" si="32"/>
        <v>779863.64500000002</v>
      </c>
      <c r="K83" s="1">
        <v>5503.34</v>
      </c>
      <c r="L83" s="1">
        <f t="shared" si="33"/>
        <v>1375.835</v>
      </c>
      <c r="M83" s="1">
        <f t="shared" si="34"/>
        <v>1297412.405</v>
      </c>
      <c r="N83" s="1">
        <v>342.17</v>
      </c>
      <c r="O83" s="1">
        <f t="shared" si="35"/>
        <v>85.542500000000004</v>
      </c>
      <c r="P83" s="1">
        <f t="shared" si="36"/>
        <v>79468.982499999998</v>
      </c>
      <c r="Q83" s="1">
        <v>29.59</v>
      </c>
      <c r="R83" s="1">
        <f t="shared" si="37"/>
        <v>7.3975</v>
      </c>
      <c r="S83" s="1">
        <f t="shared" si="38"/>
        <v>1198.395</v>
      </c>
      <c r="T83" s="1">
        <v>2438.0700000000002</v>
      </c>
      <c r="U83" s="1">
        <f t="shared" si="39"/>
        <v>609.51750000000004</v>
      </c>
      <c r="V83" s="1">
        <f t="shared" si="40"/>
        <v>15237.937500000002</v>
      </c>
      <c r="W83" s="1">
        <v>1205.22</v>
      </c>
      <c r="X83" s="1">
        <f t="shared" si="41"/>
        <v>301.30500000000001</v>
      </c>
      <c r="Y83" s="1">
        <f t="shared" si="42"/>
        <v>903.91499999999996</v>
      </c>
      <c r="Z83" s="1">
        <v>56.69</v>
      </c>
      <c r="AA83" s="1">
        <f t="shared" si="43"/>
        <v>14.172499999999999</v>
      </c>
      <c r="AB83" s="1">
        <f t="shared" si="44"/>
        <v>42.517499999999998</v>
      </c>
      <c r="AC83" s="1">
        <v>3263.77</v>
      </c>
      <c r="AD83" s="1">
        <f t="shared" si="45"/>
        <v>815.9425</v>
      </c>
      <c r="AE83" s="1">
        <f t="shared" si="46"/>
        <v>46508.722499999996</v>
      </c>
      <c r="AF83" s="1">
        <v>4519.3900000000003</v>
      </c>
      <c r="AG83" s="1">
        <f t="shared" si="47"/>
        <v>1129.8475000000001</v>
      </c>
      <c r="AH83" s="1">
        <f t="shared" si="48"/>
        <v>11298.475</v>
      </c>
      <c r="AI83" s="1">
        <v>13002.43</v>
      </c>
      <c r="AJ83" s="1">
        <f t="shared" si="49"/>
        <v>3250.6075000000001</v>
      </c>
      <c r="AK83" s="5">
        <f t="shared" si="50"/>
        <v>58510.934999999998</v>
      </c>
      <c r="AL83" s="6">
        <f t="shared" si="51"/>
        <v>12844.4725</v>
      </c>
      <c r="AM83" s="6">
        <f t="shared" si="51"/>
        <v>5251516.8899999987</v>
      </c>
      <c r="AN83" s="6">
        <f t="shared" si="52"/>
        <v>408.85422815144796</v>
      </c>
      <c r="AO83" s="6">
        <f t="shared" si="53"/>
        <v>0.40885422815144795</v>
      </c>
    </row>
    <row r="84" spans="1:41" ht="14" x14ac:dyDescent="0.15">
      <c r="A84" s="1" t="s">
        <v>81</v>
      </c>
      <c r="B84" s="1">
        <v>4533.8100000000004</v>
      </c>
      <c r="C84" s="1">
        <f t="shared" si="27"/>
        <v>1133.4525000000001</v>
      </c>
      <c r="D84" s="1">
        <f t="shared" si="28"/>
        <v>315099.79500000004</v>
      </c>
      <c r="E84" s="1">
        <v>9396.0499999999993</v>
      </c>
      <c r="F84" s="1">
        <f t="shared" si="29"/>
        <v>2349.0124999999998</v>
      </c>
      <c r="G84" s="1">
        <f t="shared" si="30"/>
        <v>2644988.0749999997</v>
      </c>
      <c r="H84" s="1">
        <v>7307.66</v>
      </c>
      <c r="I84" s="1">
        <f t="shared" si="31"/>
        <v>1826.915</v>
      </c>
      <c r="J84" s="1">
        <f t="shared" si="32"/>
        <v>798361.85499999998</v>
      </c>
      <c r="K84" s="1">
        <v>5582.94</v>
      </c>
      <c r="L84" s="1">
        <f t="shared" si="33"/>
        <v>1395.7349999999999</v>
      </c>
      <c r="M84" s="1">
        <f t="shared" si="34"/>
        <v>1316178.105</v>
      </c>
      <c r="N84" s="1">
        <v>342.29</v>
      </c>
      <c r="O84" s="1">
        <f t="shared" si="35"/>
        <v>85.572500000000005</v>
      </c>
      <c r="P84" s="1">
        <f t="shared" si="36"/>
        <v>79496.852500000008</v>
      </c>
      <c r="Q84" s="1">
        <v>29.87</v>
      </c>
      <c r="R84" s="1">
        <f t="shared" si="37"/>
        <v>7.4675000000000002</v>
      </c>
      <c r="S84" s="1">
        <f t="shared" si="38"/>
        <v>1209.7350000000001</v>
      </c>
      <c r="T84" s="1">
        <v>3910.78</v>
      </c>
      <c r="U84" s="1">
        <f t="shared" si="39"/>
        <v>977.69500000000005</v>
      </c>
      <c r="V84" s="1">
        <f t="shared" si="40"/>
        <v>24442.375</v>
      </c>
      <c r="W84" s="1">
        <v>1216.46</v>
      </c>
      <c r="X84" s="1">
        <f t="shared" si="41"/>
        <v>304.11500000000001</v>
      </c>
      <c r="Y84" s="1">
        <f t="shared" si="42"/>
        <v>912.34500000000003</v>
      </c>
      <c r="Z84" s="1">
        <v>148.03</v>
      </c>
      <c r="AA84" s="1">
        <f t="shared" si="43"/>
        <v>37.0075</v>
      </c>
      <c r="AB84" s="1">
        <f t="shared" si="44"/>
        <v>111.02250000000001</v>
      </c>
      <c r="AC84" s="1">
        <v>1960.47</v>
      </c>
      <c r="AD84" s="1">
        <f t="shared" si="45"/>
        <v>490.11750000000001</v>
      </c>
      <c r="AE84" s="1">
        <f t="shared" si="46"/>
        <v>27936.697500000002</v>
      </c>
      <c r="AF84" s="1">
        <v>4660.41</v>
      </c>
      <c r="AG84" s="1">
        <f t="shared" si="47"/>
        <v>1165.1025</v>
      </c>
      <c r="AH84" s="1">
        <f t="shared" si="48"/>
        <v>11651.025</v>
      </c>
      <c r="AI84" s="1">
        <v>12793.55</v>
      </c>
      <c r="AJ84" s="1">
        <f t="shared" si="49"/>
        <v>3198.3874999999998</v>
      </c>
      <c r="AK84" s="5">
        <f t="shared" si="50"/>
        <v>57570.974999999999</v>
      </c>
      <c r="AL84" s="6">
        <f t="shared" si="51"/>
        <v>12970.579999999998</v>
      </c>
      <c r="AM84" s="6">
        <f t="shared" si="51"/>
        <v>5277958.8574999999</v>
      </c>
      <c r="AN84" s="6">
        <f t="shared" si="52"/>
        <v>406.91772129696596</v>
      </c>
      <c r="AO84" s="6">
        <f t="shared" si="53"/>
        <v>0.40691772129696596</v>
      </c>
    </row>
    <row r="85" spans="1:41" ht="14" x14ac:dyDescent="0.15">
      <c r="A85" s="1" t="s">
        <v>82</v>
      </c>
      <c r="B85" s="1">
        <v>4569.25</v>
      </c>
      <c r="C85" s="1">
        <f t="shared" si="27"/>
        <v>1142.3125</v>
      </c>
      <c r="D85" s="1">
        <f t="shared" si="28"/>
        <v>317562.875</v>
      </c>
      <c r="E85" s="1">
        <v>9406.51</v>
      </c>
      <c r="F85" s="1">
        <f t="shared" si="29"/>
        <v>2351.6275000000001</v>
      </c>
      <c r="G85" s="1">
        <f t="shared" si="30"/>
        <v>2647932.5649999999</v>
      </c>
      <c r="H85" s="1">
        <v>7494.07</v>
      </c>
      <c r="I85" s="1">
        <f t="shared" si="31"/>
        <v>1873.5174999999999</v>
      </c>
      <c r="J85" s="1">
        <f t="shared" si="32"/>
        <v>818727.14749999996</v>
      </c>
      <c r="K85" s="1">
        <v>5599.79</v>
      </c>
      <c r="L85" s="1">
        <f t="shared" si="33"/>
        <v>1399.9475</v>
      </c>
      <c r="M85" s="1">
        <f t="shared" si="34"/>
        <v>1320150.4924999999</v>
      </c>
      <c r="N85" s="1">
        <v>342.58</v>
      </c>
      <c r="O85" s="1">
        <f t="shared" si="35"/>
        <v>85.644999999999996</v>
      </c>
      <c r="P85" s="1">
        <f t="shared" si="36"/>
        <v>79564.205000000002</v>
      </c>
      <c r="Q85" s="1">
        <v>29.91</v>
      </c>
      <c r="R85" s="1">
        <f t="shared" si="37"/>
        <v>7.4775</v>
      </c>
      <c r="S85" s="1">
        <f t="shared" si="38"/>
        <v>1211.355</v>
      </c>
      <c r="T85" s="1">
        <v>4942.05</v>
      </c>
      <c r="U85" s="1">
        <f t="shared" si="39"/>
        <v>1235.5125</v>
      </c>
      <c r="V85" s="1">
        <f t="shared" si="40"/>
        <v>30887.8125</v>
      </c>
      <c r="W85" s="1">
        <v>1237.27</v>
      </c>
      <c r="X85" s="1">
        <f t="shared" si="41"/>
        <v>309.3175</v>
      </c>
      <c r="Y85" s="1">
        <f t="shared" si="42"/>
        <v>927.95249999999999</v>
      </c>
      <c r="Z85" s="1">
        <v>315.14999999999998</v>
      </c>
      <c r="AA85" s="1">
        <f t="shared" si="43"/>
        <v>78.787499999999994</v>
      </c>
      <c r="AB85" s="1">
        <f t="shared" si="44"/>
        <v>236.36249999999998</v>
      </c>
      <c r="AC85" s="1">
        <v>980.26</v>
      </c>
      <c r="AD85" s="1">
        <f t="shared" si="45"/>
        <v>245.065</v>
      </c>
      <c r="AE85" s="1">
        <f t="shared" si="46"/>
        <v>13968.705</v>
      </c>
      <c r="AF85" s="1">
        <v>4545.13</v>
      </c>
      <c r="AG85" s="1">
        <f t="shared" si="47"/>
        <v>1136.2825</v>
      </c>
      <c r="AH85" s="1">
        <f t="shared" si="48"/>
        <v>11362.825000000001</v>
      </c>
      <c r="AI85" s="1">
        <v>12648.65</v>
      </c>
      <c r="AJ85" s="1">
        <f t="shared" si="49"/>
        <v>3162.1624999999999</v>
      </c>
      <c r="AK85" s="5">
        <f t="shared" si="50"/>
        <v>56918.924999999996</v>
      </c>
      <c r="AL85" s="6">
        <f t="shared" si="51"/>
        <v>13027.655000000001</v>
      </c>
      <c r="AM85" s="6">
        <f t="shared" si="51"/>
        <v>5299451.2225000001</v>
      </c>
      <c r="AN85" s="6">
        <f t="shared" si="52"/>
        <v>406.78473773676075</v>
      </c>
      <c r="AO85" s="6">
        <f t="shared" si="53"/>
        <v>0.40678473773676077</v>
      </c>
    </row>
    <row r="86" spans="1:41" ht="14" x14ac:dyDescent="0.15">
      <c r="A86" s="1" t="s">
        <v>83</v>
      </c>
      <c r="B86" s="1">
        <v>4564.76</v>
      </c>
      <c r="C86" s="1">
        <f t="shared" si="27"/>
        <v>1141.19</v>
      </c>
      <c r="D86" s="1">
        <f t="shared" si="28"/>
        <v>317250.82</v>
      </c>
      <c r="E86" s="1">
        <v>9424.31</v>
      </c>
      <c r="F86" s="1">
        <f t="shared" si="29"/>
        <v>2356.0774999999999</v>
      </c>
      <c r="G86" s="1">
        <f t="shared" si="30"/>
        <v>2652943.2649999997</v>
      </c>
      <c r="H86" s="1">
        <v>7661.35</v>
      </c>
      <c r="I86" s="1">
        <f t="shared" si="31"/>
        <v>1915.3375000000001</v>
      </c>
      <c r="J86" s="1">
        <f t="shared" si="32"/>
        <v>837002.48750000005</v>
      </c>
      <c r="K86" s="1">
        <v>5669.25</v>
      </c>
      <c r="L86" s="1">
        <f t="shared" si="33"/>
        <v>1417.3125</v>
      </c>
      <c r="M86" s="1">
        <f t="shared" si="34"/>
        <v>1336525.6875</v>
      </c>
      <c r="N86" s="1">
        <v>342.71</v>
      </c>
      <c r="O86" s="1">
        <f t="shared" si="35"/>
        <v>85.677499999999995</v>
      </c>
      <c r="P86" s="1">
        <f t="shared" si="36"/>
        <v>79594.397499999992</v>
      </c>
      <c r="Q86" s="1">
        <v>30.13</v>
      </c>
      <c r="R86" s="1">
        <f t="shared" si="37"/>
        <v>7.5324999999999998</v>
      </c>
      <c r="S86" s="1">
        <f t="shared" si="38"/>
        <v>1220.2649999999999</v>
      </c>
      <c r="T86" s="1">
        <v>5033.79</v>
      </c>
      <c r="U86" s="1">
        <f t="shared" si="39"/>
        <v>1258.4475</v>
      </c>
      <c r="V86" s="1">
        <f t="shared" si="40"/>
        <v>31461.1875</v>
      </c>
      <c r="W86" s="1">
        <v>1248.19</v>
      </c>
      <c r="X86" s="1">
        <f t="shared" si="41"/>
        <v>312.04750000000001</v>
      </c>
      <c r="Y86" s="1">
        <f t="shared" si="42"/>
        <v>936.14250000000004</v>
      </c>
      <c r="Z86" s="1">
        <v>395.11</v>
      </c>
      <c r="AA86" s="1">
        <f t="shared" si="43"/>
        <v>98.777500000000003</v>
      </c>
      <c r="AB86" s="1">
        <f t="shared" si="44"/>
        <v>296.33249999999998</v>
      </c>
      <c r="AC86" s="1">
        <v>350.13</v>
      </c>
      <c r="AD86" s="1">
        <f t="shared" si="45"/>
        <v>87.532499999999999</v>
      </c>
      <c r="AE86" s="1">
        <f t="shared" si="46"/>
        <v>4989.3525</v>
      </c>
      <c r="AF86" s="1">
        <v>4632.8900000000003</v>
      </c>
      <c r="AG86" s="1">
        <f t="shared" si="47"/>
        <v>1158.2225000000001</v>
      </c>
      <c r="AH86" s="1">
        <f t="shared" si="48"/>
        <v>11582.225</v>
      </c>
      <c r="AI86" s="1">
        <v>12964.43</v>
      </c>
      <c r="AJ86" s="1">
        <f t="shared" si="49"/>
        <v>3241.1075000000001</v>
      </c>
      <c r="AK86" s="5">
        <f t="shared" si="50"/>
        <v>58339.934999999998</v>
      </c>
      <c r="AL86" s="6">
        <f t="shared" si="51"/>
        <v>13079.262499999999</v>
      </c>
      <c r="AM86" s="6">
        <f t="shared" si="51"/>
        <v>5332142.0974999983</v>
      </c>
      <c r="AN86" s="6">
        <f t="shared" si="52"/>
        <v>407.67911015624918</v>
      </c>
      <c r="AO86" s="6">
        <f t="shared" si="53"/>
        <v>0.40767911015624919</v>
      </c>
    </row>
    <row r="87" spans="1:41" ht="14" x14ac:dyDescent="0.15">
      <c r="A87" s="1" t="s">
        <v>84</v>
      </c>
      <c r="B87" s="1">
        <v>4548.03</v>
      </c>
      <c r="C87" s="1">
        <f t="shared" si="27"/>
        <v>1137.0074999999999</v>
      </c>
      <c r="D87" s="1">
        <f t="shared" si="28"/>
        <v>316088.08499999996</v>
      </c>
      <c r="E87" s="1">
        <v>9309.69</v>
      </c>
      <c r="F87" s="1">
        <f t="shared" si="29"/>
        <v>2327.4225000000001</v>
      </c>
      <c r="G87" s="1">
        <f t="shared" si="30"/>
        <v>2620677.7350000003</v>
      </c>
      <c r="H87" s="1">
        <v>7986.71</v>
      </c>
      <c r="I87" s="1">
        <f t="shared" si="31"/>
        <v>1996.6775</v>
      </c>
      <c r="J87" s="1">
        <f t="shared" si="32"/>
        <v>872548.0675</v>
      </c>
      <c r="K87" s="1">
        <v>5711.83</v>
      </c>
      <c r="L87" s="1">
        <f t="shared" si="33"/>
        <v>1427.9575</v>
      </c>
      <c r="M87" s="1">
        <f t="shared" si="34"/>
        <v>1346563.9224999999</v>
      </c>
      <c r="N87" s="1">
        <v>342.17</v>
      </c>
      <c r="O87" s="1">
        <f t="shared" si="35"/>
        <v>85.542500000000004</v>
      </c>
      <c r="P87" s="1">
        <f t="shared" si="36"/>
        <v>79468.982499999998</v>
      </c>
      <c r="Q87" s="1">
        <v>30.36</v>
      </c>
      <c r="R87" s="1">
        <f t="shared" si="37"/>
        <v>7.59</v>
      </c>
      <c r="S87" s="1">
        <f t="shared" si="38"/>
        <v>1229.58</v>
      </c>
      <c r="T87" s="1">
        <v>5692.85</v>
      </c>
      <c r="U87" s="1">
        <f t="shared" si="39"/>
        <v>1423.2125000000001</v>
      </c>
      <c r="V87" s="1">
        <f t="shared" si="40"/>
        <v>35580.3125</v>
      </c>
      <c r="W87" s="1">
        <v>1268.6099999999999</v>
      </c>
      <c r="X87" s="1">
        <f t="shared" si="41"/>
        <v>317.15249999999997</v>
      </c>
      <c r="Y87" s="1">
        <f t="shared" si="42"/>
        <v>951.45749999999998</v>
      </c>
      <c r="Z87" s="1">
        <v>429.95</v>
      </c>
      <c r="AA87" s="1">
        <f t="shared" si="43"/>
        <v>107.4875</v>
      </c>
      <c r="AB87" s="1">
        <f t="shared" si="44"/>
        <v>322.46249999999998</v>
      </c>
      <c r="AC87" s="1">
        <v>119.75</v>
      </c>
      <c r="AD87" s="1">
        <f t="shared" si="45"/>
        <v>29.9375</v>
      </c>
      <c r="AE87" s="1">
        <f t="shared" si="46"/>
        <v>1706.4375</v>
      </c>
      <c r="AF87" s="1">
        <v>4922.92</v>
      </c>
      <c r="AG87" s="1">
        <f t="shared" si="47"/>
        <v>1230.73</v>
      </c>
      <c r="AH87" s="1">
        <f t="shared" si="48"/>
        <v>12307.3</v>
      </c>
      <c r="AI87" s="1">
        <v>13294.44</v>
      </c>
      <c r="AJ87" s="1">
        <f t="shared" si="49"/>
        <v>3323.61</v>
      </c>
      <c r="AK87" s="5">
        <f t="shared" si="50"/>
        <v>59824.98</v>
      </c>
      <c r="AL87" s="6">
        <f t="shared" si="51"/>
        <v>13414.327499999999</v>
      </c>
      <c r="AM87" s="6">
        <f t="shared" si="51"/>
        <v>5347269.3225000007</v>
      </c>
      <c r="AN87" s="6">
        <f t="shared" si="52"/>
        <v>398.62373439891047</v>
      </c>
      <c r="AO87" s="6">
        <f t="shared" si="53"/>
        <v>0.39862373439891047</v>
      </c>
    </row>
    <row r="88" spans="1:41" ht="14" x14ac:dyDescent="0.15">
      <c r="A88" s="1" t="s">
        <v>85</v>
      </c>
      <c r="B88" s="1">
        <v>4571.05</v>
      </c>
      <c r="C88" s="1">
        <f t="shared" si="27"/>
        <v>1142.7625</v>
      </c>
      <c r="D88" s="1">
        <f t="shared" si="28"/>
        <v>317687.97500000003</v>
      </c>
      <c r="E88" s="1">
        <v>9354.61</v>
      </c>
      <c r="F88" s="1">
        <f t="shared" si="29"/>
        <v>2338.6525000000001</v>
      </c>
      <c r="G88" s="1">
        <f t="shared" si="30"/>
        <v>2633322.7150000003</v>
      </c>
      <c r="H88" s="1">
        <v>8181.04</v>
      </c>
      <c r="I88" s="1">
        <f t="shared" si="31"/>
        <v>2045.26</v>
      </c>
      <c r="J88" s="1">
        <f t="shared" si="32"/>
        <v>893778.62</v>
      </c>
      <c r="K88" s="1">
        <v>5757</v>
      </c>
      <c r="L88" s="1">
        <f t="shared" si="33"/>
        <v>1439.25</v>
      </c>
      <c r="M88" s="1">
        <f t="shared" si="34"/>
        <v>1357212.75</v>
      </c>
      <c r="N88" s="1">
        <v>342.17</v>
      </c>
      <c r="O88" s="1">
        <f t="shared" si="35"/>
        <v>85.542500000000004</v>
      </c>
      <c r="P88" s="1">
        <f t="shared" si="36"/>
        <v>79468.982499999998</v>
      </c>
      <c r="Q88" s="1">
        <v>30.69</v>
      </c>
      <c r="R88" s="1">
        <f t="shared" si="37"/>
        <v>7.6725000000000003</v>
      </c>
      <c r="S88" s="1">
        <f t="shared" si="38"/>
        <v>1242.9450000000002</v>
      </c>
      <c r="T88" s="1">
        <v>5335.05</v>
      </c>
      <c r="U88" s="1">
        <f t="shared" si="39"/>
        <v>1333.7625</v>
      </c>
      <c r="V88" s="1">
        <f t="shared" si="40"/>
        <v>33344.0625</v>
      </c>
      <c r="W88" s="1">
        <v>1276.6500000000001</v>
      </c>
      <c r="X88" s="1">
        <f t="shared" si="41"/>
        <v>319.16250000000002</v>
      </c>
      <c r="Y88" s="1">
        <f t="shared" si="42"/>
        <v>957.48750000000007</v>
      </c>
      <c r="Z88" s="1">
        <v>299.41000000000003</v>
      </c>
      <c r="AA88" s="1">
        <f t="shared" si="43"/>
        <v>74.852500000000006</v>
      </c>
      <c r="AB88" s="1">
        <f t="shared" si="44"/>
        <v>224.5575</v>
      </c>
      <c r="AC88" s="1">
        <v>29.45</v>
      </c>
      <c r="AD88" s="1">
        <f t="shared" si="45"/>
        <v>7.3624999999999998</v>
      </c>
      <c r="AE88" s="1">
        <f t="shared" si="46"/>
        <v>419.66249999999997</v>
      </c>
      <c r="AF88" s="1">
        <v>5214.93</v>
      </c>
      <c r="AG88" s="1">
        <f t="shared" si="47"/>
        <v>1303.7325000000001</v>
      </c>
      <c r="AH88" s="1">
        <f t="shared" si="48"/>
        <v>13037.325000000001</v>
      </c>
      <c r="AI88" s="1">
        <v>13331.15</v>
      </c>
      <c r="AJ88" s="1">
        <f t="shared" si="49"/>
        <v>3332.7874999999999</v>
      </c>
      <c r="AK88" s="5">
        <f t="shared" si="50"/>
        <v>59990.174999999996</v>
      </c>
      <c r="AL88" s="6">
        <f t="shared" si="51"/>
        <v>13430.800000000001</v>
      </c>
      <c r="AM88" s="6">
        <f t="shared" si="51"/>
        <v>5390687.2575000003</v>
      </c>
      <c r="AN88" s="6">
        <f t="shared" si="52"/>
        <v>401.3675475399827</v>
      </c>
      <c r="AO88" s="6">
        <f t="shared" si="53"/>
        <v>0.40136754753998272</v>
      </c>
    </row>
    <row r="89" spans="1:41" ht="14" x14ac:dyDescent="0.15">
      <c r="A89" s="1" t="s">
        <v>86</v>
      </c>
      <c r="B89" s="1">
        <v>4557.75</v>
      </c>
      <c r="C89" s="1">
        <f t="shared" si="27"/>
        <v>1139.4375</v>
      </c>
      <c r="D89" s="1">
        <f t="shared" si="28"/>
        <v>316763.625</v>
      </c>
      <c r="E89" s="1">
        <v>9404.1</v>
      </c>
      <c r="F89" s="1">
        <f t="shared" si="29"/>
        <v>2351.0250000000001</v>
      </c>
      <c r="G89" s="1">
        <f t="shared" si="30"/>
        <v>2647254.15</v>
      </c>
      <c r="H89" s="1">
        <v>8296.06</v>
      </c>
      <c r="I89" s="1">
        <f t="shared" si="31"/>
        <v>2074.0149999999999</v>
      </c>
      <c r="J89" s="1">
        <f t="shared" si="32"/>
        <v>906344.55499999993</v>
      </c>
      <c r="K89" s="1">
        <v>5761.25</v>
      </c>
      <c r="L89" s="1">
        <f t="shared" si="33"/>
        <v>1440.3125</v>
      </c>
      <c r="M89" s="1">
        <f t="shared" si="34"/>
        <v>1358214.6875</v>
      </c>
      <c r="N89" s="1">
        <v>342.17</v>
      </c>
      <c r="O89" s="1">
        <f t="shared" si="35"/>
        <v>85.542500000000004</v>
      </c>
      <c r="P89" s="1">
        <f t="shared" si="36"/>
        <v>79468.982499999998</v>
      </c>
      <c r="Q89" s="1">
        <v>31.1</v>
      </c>
      <c r="R89" s="1">
        <f t="shared" si="37"/>
        <v>7.7750000000000004</v>
      </c>
      <c r="S89" s="1">
        <f t="shared" si="38"/>
        <v>1259.55</v>
      </c>
      <c r="T89" s="1">
        <v>4400.5200000000004</v>
      </c>
      <c r="U89" s="1">
        <f t="shared" si="39"/>
        <v>1100.1300000000001</v>
      </c>
      <c r="V89" s="1">
        <f t="shared" si="40"/>
        <v>27503.250000000004</v>
      </c>
      <c r="W89" s="1">
        <v>1268.57</v>
      </c>
      <c r="X89" s="1">
        <f t="shared" si="41"/>
        <v>317.14249999999998</v>
      </c>
      <c r="Y89" s="1">
        <f t="shared" si="42"/>
        <v>951.42750000000001</v>
      </c>
      <c r="Z89" s="1">
        <v>229.16</v>
      </c>
      <c r="AA89" s="1">
        <f t="shared" si="43"/>
        <v>57.29</v>
      </c>
      <c r="AB89" s="1">
        <f t="shared" si="44"/>
        <v>171.87</v>
      </c>
      <c r="AC89" s="1">
        <v>12.36</v>
      </c>
      <c r="AD89" s="1">
        <f t="shared" si="45"/>
        <v>3.09</v>
      </c>
      <c r="AE89" s="1">
        <f t="shared" si="46"/>
        <v>176.13</v>
      </c>
      <c r="AF89" s="1">
        <v>5465.26</v>
      </c>
      <c r="AG89" s="1">
        <f t="shared" si="47"/>
        <v>1366.3150000000001</v>
      </c>
      <c r="AH89" s="1">
        <f t="shared" si="48"/>
        <v>13663.150000000001</v>
      </c>
      <c r="AI89" s="1">
        <v>13503.36</v>
      </c>
      <c r="AJ89" s="1">
        <f t="shared" si="49"/>
        <v>3375.84</v>
      </c>
      <c r="AK89" s="5">
        <f t="shared" si="50"/>
        <v>60765.120000000003</v>
      </c>
      <c r="AL89" s="6">
        <f t="shared" si="51"/>
        <v>13317.915000000001</v>
      </c>
      <c r="AM89" s="6">
        <f t="shared" si="51"/>
        <v>5412536.4975000005</v>
      </c>
      <c r="AN89" s="6">
        <f t="shared" si="52"/>
        <v>406.41019990741796</v>
      </c>
      <c r="AO89" s="6">
        <f t="shared" si="53"/>
        <v>0.40641019990741795</v>
      </c>
    </row>
    <row r="90" spans="1:41" ht="14" x14ac:dyDescent="0.15">
      <c r="A90" s="1" t="s">
        <v>87</v>
      </c>
      <c r="B90" s="1">
        <v>4546.91</v>
      </c>
      <c r="C90" s="1">
        <f t="shared" si="27"/>
        <v>1136.7275</v>
      </c>
      <c r="D90" s="1">
        <f t="shared" si="28"/>
        <v>316010.245</v>
      </c>
      <c r="E90" s="1">
        <v>9313.18</v>
      </c>
      <c r="F90" s="1">
        <f t="shared" si="29"/>
        <v>2328.2950000000001</v>
      </c>
      <c r="G90" s="1">
        <f t="shared" si="30"/>
        <v>2621660.17</v>
      </c>
      <c r="H90" s="1">
        <v>8194.2099999999991</v>
      </c>
      <c r="I90" s="1">
        <f t="shared" si="31"/>
        <v>2048.5524999999998</v>
      </c>
      <c r="J90" s="1">
        <f t="shared" si="32"/>
        <v>895217.44249999989</v>
      </c>
      <c r="K90" s="1">
        <v>5795.86</v>
      </c>
      <c r="L90" s="1">
        <f t="shared" si="33"/>
        <v>1448.9649999999999</v>
      </c>
      <c r="M90" s="1">
        <f t="shared" si="34"/>
        <v>1366373.9949999999</v>
      </c>
      <c r="N90" s="1">
        <v>342.17</v>
      </c>
      <c r="O90" s="1">
        <f t="shared" si="35"/>
        <v>85.542500000000004</v>
      </c>
      <c r="P90" s="1">
        <f t="shared" si="36"/>
        <v>79468.982499999998</v>
      </c>
      <c r="Q90" s="1">
        <v>31.62</v>
      </c>
      <c r="R90" s="1">
        <f t="shared" si="37"/>
        <v>7.9050000000000002</v>
      </c>
      <c r="S90" s="1">
        <f t="shared" si="38"/>
        <v>1280.6100000000001</v>
      </c>
      <c r="T90" s="1">
        <v>3693.88</v>
      </c>
      <c r="U90" s="1">
        <f t="shared" si="39"/>
        <v>923.47</v>
      </c>
      <c r="V90" s="1">
        <f t="shared" si="40"/>
        <v>23086.75</v>
      </c>
      <c r="W90" s="1">
        <v>1234.52</v>
      </c>
      <c r="X90" s="1">
        <f t="shared" si="41"/>
        <v>308.63</v>
      </c>
      <c r="Y90" s="1">
        <f t="shared" si="42"/>
        <v>925.89</v>
      </c>
      <c r="Z90" s="1">
        <v>70.69</v>
      </c>
      <c r="AA90" s="1">
        <f t="shared" si="43"/>
        <v>17.672499999999999</v>
      </c>
      <c r="AB90" s="1">
        <f t="shared" si="44"/>
        <v>53.017499999999998</v>
      </c>
      <c r="AC90" s="1">
        <v>9.07</v>
      </c>
      <c r="AD90" s="1">
        <f t="shared" si="45"/>
        <v>2.2675000000000001</v>
      </c>
      <c r="AE90" s="1">
        <f t="shared" si="46"/>
        <v>129.2475</v>
      </c>
      <c r="AF90" s="1">
        <v>5598.09</v>
      </c>
      <c r="AG90" s="1">
        <f t="shared" si="47"/>
        <v>1399.5225</v>
      </c>
      <c r="AH90" s="1">
        <f t="shared" si="48"/>
        <v>13995.225</v>
      </c>
      <c r="AI90" s="1">
        <v>14047.93</v>
      </c>
      <c r="AJ90" s="1">
        <f t="shared" si="49"/>
        <v>3511.9825000000001</v>
      </c>
      <c r="AK90" s="5">
        <f t="shared" si="50"/>
        <v>63215.684999999998</v>
      </c>
      <c r="AL90" s="6">
        <f t="shared" si="51"/>
        <v>13219.532499999999</v>
      </c>
      <c r="AM90" s="6">
        <f t="shared" si="51"/>
        <v>5381417.2599999988</v>
      </c>
      <c r="AN90" s="6">
        <f t="shared" si="52"/>
        <v>407.08075417946884</v>
      </c>
      <c r="AO90" s="6">
        <f t="shared" si="53"/>
        <v>0.40708075417946882</v>
      </c>
    </row>
    <row r="91" spans="1:41" ht="14" x14ac:dyDescent="0.15">
      <c r="A91" s="1" t="s">
        <v>88</v>
      </c>
      <c r="B91" s="1">
        <v>4444.47</v>
      </c>
      <c r="C91" s="1">
        <f t="shared" si="27"/>
        <v>1111.1175000000001</v>
      </c>
      <c r="D91" s="1">
        <f t="shared" si="28"/>
        <v>308890.66500000004</v>
      </c>
      <c r="E91" s="1">
        <v>9237.3700000000008</v>
      </c>
      <c r="F91" s="1">
        <f t="shared" si="29"/>
        <v>2309.3425000000002</v>
      </c>
      <c r="G91" s="1">
        <f t="shared" si="30"/>
        <v>2600319.6550000003</v>
      </c>
      <c r="H91" s="1">
        <v>8127.17</v>
      </c>
      <c r="I91" s="1">
        <f t="shared" si="31"/>
        <v>2031.7925</v>
      </c>
      <c r="J91" s="1">
        <f t="shared" si="32"/>
        <v>887893.32250000001</v>
      </c>
      <c r="K91" s="1">
        <v>5793.88</v>
      </c>
      <c r="L91" s="1">
        <f t="shared" si="33"/>
        <v>1448.47</v>
      </c>
      <c r="M91" s="1">
        <f t="shared" si="34"/>
        <v>1365907.21</v>
      </c>
      <c r="N91" s="1">
        <v>342.44</v>
      </c>
      <c r="O91" s="1">
        <f t="shared" si="35"/>
        <v>85.61</v>
      </c>
      <c r="P91" s="1">
        <f t="shared" si="36"/>
        <v>79531.69</v>
      </c>
      <c r="Q91" s="1">
        <v>32.020000000000003</v>
      </c>
      <c r="R91" s="1">
        <f t="shared" si="37"/>
        <v>8.0050000000000008</v>
      </c>
      <c r="S91" s="1">
        <f t="shared" si="38"/>
        <v>1296.8100000000002</v>
      </c>
      <c r="T91" s="1">
        <v>3268.04</v>
      </c>
      <c r="U91" s="1">
        <f t="shared" si="39"/>
        <v>817.01</v>
      </c>
      <c r="V91" s="1">
        <f t="shared" si="40"/>
        <v>20425.25</v>
      </c>
      <c r="W91" s="1">
        <v>1255.18</v>
      </c>
      <c r="X91" s="1">
        <f t="shared" si="41"/>
        <v>313.79500000000002</v>
      </c>
      <c r="Y91" s="1">
        <f t="shared" si="42"/>
        <v>941.38499999999999</v>
      </c>
      <c r="Z91" s="1">
        <v>238.68</v>
      </c>
      <c r="AA91" s="1">
        <f t="shared" si="43"/>
        <v>59.67</v>
      </c>
      <c r="AB91" s="1">
        <f t="shared" si="44"/>
        <v>179.01</v>
      </c>
      <c r="AC91" s="1">
        <v>7.89</v>
      </c>
      <c r="AD91" s="1">
        <f t="shared" si="45"/>
        <v>1.9724999999999999</v>
      </c>
      <c r="AE91" s="1">
        <f t="shared" si="46"/>
        <v>112.43249999999999</v>
      </c>
      <c r="AF91" s="1">
        <v>5636.65</v>
      </c>
      <c r="AG91" s="1">
        <f t="shared" si="47"/>
        <v>1409.1624999999999</v>
      </c>
      <c r="AH91" s="1">
        <f t="shared" si="48"/>
        <v>14091.625</v>
      </c>
      <c r="AI91" s="1">
        <v>14640.62</v>
      </c>
      <c r="AJ91" s="1">
        <f t="shared" si="49"/>
        <v>3660.1550000000002</v>
      </c>
      <c r="AK91" s="5">
        <f t="shared" si="50"/>
        <v>65882.790000000008</v>
      </c>
      <c r="AL91" s="6">
        <f t="shared" si="51"/>
        <v>13256.102500000001</v>
      </c>
      <c r="AM91" s="6">
        <f t="shared" si="51"/>
        <v>5345471.8449999997</v>
      </c>
      <c r="AN91" s="6">
        <f t="shared" si="52"/>
        <v>403.24611589266146</v>
      </c>
      <c r="AO91" s="6">
        <f t="shared" si="53"/>
        <v>0.40324611589266146</v>
      </c>
    </row>
    <row r="92" spans="1:41" ht="14" x14ac:dyDescent="0.15">
      <c r="A92" s="1" t="s">
        <v>89</v>
      </c>
      <c r="B92" s="1">
        <v>4402.3599999999997</v>
      </c>
      <c r="C92" s="1">
        <f t="shared" si="27"/>
        <v>1100.5899999999999</v>
      </c>
      <c r="D92" s="1">
        <f t="shared" si="28"/>
        <v>305964.01999999996</v>
      </c>
      <c r="E92" s="1">
        <v>9246.58</v>
      </c>
      <c r="F92" s="1">
        <f t="shared" si="29"/>
        <v>2311.645</v>
      </c>
      <c r="G92" s="1">
        <f t="shared" si="30"/>
        <v>2602912.27</v>
      </c>
      <c r="H92" s="1">
        <v>8050.53</v>
      </c>
      <c r="I92" s="1">
        <f t="shared" si="31"/>
        <v>2012.6324999999999</v>
      </c>
      <c r="J92" s="1">
        <f t="shared" si="32"/>
        <v>879520.40249999997</v>
      </c>
      <c r="K92" s="1">
        <v>5820.55</v>
      </c>
      <c r="L92" s="1">
        <f t="shared" si="33"/>
        <v>1455.1375</v>
      </c>
      <c r="M92" s="1">
        <f t="shared" si="34"/>
        <v>1372194.6625000001</v>
      </c>
      <c r="N92" s="1">
        <v>342.17</v>
      </c>
      <c r="O92" s="1">
        <f t="shared" si="35"/>
        <v>85.542500000000004</v>
      </c>
      <c r="P92" s="1">
        <f t="shared" si="36"/>
        <v>79468.982499999998</v>
      </c>
      <c r="Q92" s="1">
        <v>32.33</v>
      </c>
      <c r="R92" s="1">
        <f t="shared" si="37"/>
        <v>8.0824999999999996</v>
      </c>
      <c r="S92" s="1">
        <f t="shared" si="38"/>
        <v>1309.365</v>
      </c>
      <c r="T92" s="1">
        <v>2494.7399999999998</v>
      </c>
      <c r="U92" s="1">
        <f t="shared" si="39"/>
        <v>623.68499999999995</v>
      </c>
      <c r="V92" s="1">
        <f t="shared" si="40"/>
        <v>15592.124999999998</v>
      </c>
      <c r="W92" s="1">
        <v>1209.8</v>
      </c>
      <c r="X92" s="1">
        <f t="shared" si="41"/>
        <v>302.45</v>
      </c>
      <c r="Y92" s="1">
        <f t="shared" si="42"/>
        <v>907.34999999999991</v>
      </c>
      <c r="Z92" s="1">
        <v>161.5</v>
      </c>
      <c r="AA92" s="1">
        <f t="shared" si="43"/>
        <v>40.375</v>
      </c>
      <c r="AB92" s="1">
        <f t="shared" si="44"/>
        <v>121.125</v>
      </c>
      <c r="AC92" s="1">
        <v>7.54</v>
      </c>
      <c r="AD92" s="1">
        <f t="shared" si="45"/>
        <v>1.885</v>
      </c>
      <c r="AE92" s="1">
        <f t="shared" si="46"/>
        <v>107.44500000000001</v>
      </c>
      <c r="AF92" s="1">
        <v>5802.41</v>
      </c>
      <c r="AG92" s="1">
        <f t="shared" si="47"/>
        <v>1450.6025</v>
      </c>
      <c r="AH92" s="1">
        <f t="shared" si="48"/>
        <v>14506.025</v>
      </c>
      <c r="AI92" s="1">
        <v>14935.54</v>
      </c>
      <c r="AJ92" s="1">
        <f t="shared" si="49"/>
        <v>3733.8850000000002</v>
      </c>
      <c r="AK92" s="5">
        <f t="shared" si="50"/>
        <v>67209.930000000008</v>
      </c>
      <c r="AL92" s="6">
        <f t="shared" si="51"/>
        <v>13126.512499999999</v>
      </c>
      <c r="AM92" s="6">
        <f t="shared" si="51"/>
        <v>5339813.7025000006</v>
      </c>
      <c r="AN92" s="6">
        <f t="shared" si="52"/>
        <v>406.79607035760648</v>
      </c>
      <c r="AO92" s="6">
        <f t="shared" si="53"/>
        <v>0.40679607035760645</v>
      </c>
    </row>
    <row r="93" spans="1:41" ht="14" x14ac:dyDescent="0.15">
      <c r="A93" s="1" t="s">
        <v>90</v>
      </c>
      <c r="B93" s="1">
        <v>4357.93</v>
      </c>
      <c r="C93" s="1">
        <f t="shared" si="27"/>
        <v>1089.4825000000001</v>
      </c>
      <c r="D93" s="1">
        <f t="shared" si="28"/>
        <v>302876.13500000001</v>
      </c>
      <c r="E93" s="1">
        <v>9242.7999999999993</v>
      </c>
      <c r="F93" s="1">
        <f t="shared" si="29"/>
        <v>2310.6999999999998</v>
      </c>
      <c r="G93" s="1">
        <f t="shared" si="30"/>
        <v>2601848.1999999997</v>
      </c>
      <c r="H93" s="1">
        <v>7997.19</v>
      </c>
      <c r="I93" s="1">
        <f t="shared" si="31"/>
        <v>1999.2974999999999</v>
      </c>
      <c r="J93" s="1">
        <f t="shared" si="32"/>
        <v>873693.00749999995</v>
      </c>
      <c r="K93" s="1">
        <v>5809.84</v>
      </c>
      <c r="L93" s="1">
        <f t="shared" si="33"/>
        <v>1452.46</v>
      </c>
      <c r="M93" s="1">
        <f t="shared" si="34"/>
        <v>1369669.78</v>
      </c>
      <c r="N93" s="1">
        <v>342.17</v>
      </c>
      <c r="O93" s="1">
        <f t="shared" si="35"/>
        <v>85.542500000000004</v>
      </c>
      <c r="P93" s="1">
        <f t="shared" si="36"/>
        <v>79468.982499999998</v>
      </c>
      <c r="Q93" s="1">
        <v>32.590000000000003</v>
      </c>
      <c r="R93" s="1">
        <f t="shared" si="37"/>
        <v>8.1475000000000009</v>
      </c>
      <c r="S93" s="1">
        <f t="shared" si="38"/>
        <v>1319.8950000000002</v>
      </c>
      <c r="T93" s="1">
        <v>1649.56</v>
      </c>
      <c r="U93" s="1">
        <f t="shared" si="39"/>
        <v>412.39</v>
      </c>
      <c r="V93" s="1">
        <f t="shared" si="40"/>
        <v>10309.75</v>
      </c>
      <c r="W93" s="1">
        <v>1134.24</v>
      </c>
      <c r="X93" s="1">
        <f t="shared" si="41"/>
        <v>283.56</v>
      </c>
      <c r="Y93" s="1">
        <f t="shared" si="42"/>
        <v>850.68000000000006</v>
      </c>
      <c r="Z93" s="1">
        <v>95.23</v>
      </c>
      <c r="AA93" s="1">
        <f t="shared" si="43"/>
        <v>23.807500000000001</v>
      </c>
      <c r="AB93" s="1">
        <f t="shared" si="44"/>
        <v>71.422499999999999</v>
      </c>
      <c r="AC93" s="1">
        <v>6</v>
      </c>
      <c r="AD93" s="1">
        <f t="shared" si="45"/>
        <v>1.5</v>
      </c>
      <c r="AE93" s="1">
        <f t="shared" si="46"/>
        <v>85.5</v>
      </c>
      <c r="AF93" s="1">
        <v>5843.69</v>
      </c>
      <c r="AG93" s="1">
        <f t="shared" si="47"/>
        <v>1460.9224999999999</v>
      </c>
      <c r="AH93" s="1">
        <f t="shared" si="48"/>
        <v>14609.224999999999</v>
      </c>
      <c r="AI93" s="1">
        <v>15172.3</v>
      </c>
      <c r="AJ93" s="1">
        <f t="shared" si="49"/>
        <v>3793.0749999999998</v>
      </c>
      <c r="AK93" s="5">
        <f t="shared" si="50"/>
        <v>68275.349999999991</v>
      </c>
      <c r="AL93" s="6">
        <f t="shared" si="51"/>
        <v>12920.884999999998</v>
      </c>
      <c r="AM93" s="6">
        <f t="shared" si="51"/>
        <v>5323077.9274999984</v>
      </c>
      <c r="AN93" s="6">
        <f t="shared" si="52"/>
        <v>411.97471593470561</v>
      </c>
      <c r="AO93" s="6">
        <f t="shared" si="53"/>
        <v>0.41197471593470564</v>
      </c>
    </row>
    <row r="94" spans="1:41" ht="14" x14ac:dyDescent="0.15">
      <c r="A94" s="1" t="s">
        <v>91</v>
      </c>
      <c r="B94" s="1">
        <v>4322.62</v>
      </c>
      <c r="C94" s="1">
        <f t="shared" si="27"/>
        <v>1080.655</v>
      </c>
      <c r="D94" s="1">
        <f t="shared" si="28"/>
        <v>300422.08999999997</v>
      </c>
      <c r="E94" s="1">
        <v>9255.0400000000009</v>
      </c>
      <c r="F94" s="1">
        <f t="shared" si="29"/>
        <v>2313.7600000000002</v>
      </c>
      <c r="G94" s="1">
        <f t="shared" si="30"/>
        <v>2605293.7600000002</v>
      </c>
      <c r="H94" s="1">
        <v>7992</v>
      </c>
      <c r="I94" s="1">
        <f t="shared" si="31"/>
        <v>1998</v>
      </c>
      <c r="J94" s="1">
        <f t="shared" si="32"/>
        <v>873126</v>
      </c>
      <c r="K94" s="1">
        <v>5754.36</v>
      </c>
      <c r="L94" s="1">
        <f t="shared" si="33"/>
        <v>1438.59</v>
      </c>
      <c r="M94" s="1">
        <f t="shared" si="34"/>
        <v>1356590.3699999999</v>
      </c>
      <c r="N94" s="1">
        <v>342.17</v>
      </c>
      <c r="O94" s="1">
        <f t="shared" si="35"/>
        <v>85.542500000000004</v>
      </c>
      <c r="P94" s="1">
        <f t="shared" si="36"/>
        <v>79468.982499999998</v>
      </c>
      <c r="Q94" s="1">
        <v>32.76</v>
      </c>
      <c r="R94" s="1">
        <f t="shared" si="37"/>
        <v>8.19</v>
      </c>
      <c r="S94" s="1">
        <f t="shared" si="38"/>
        <v>1326.78</v>
      </c>
      <c r="T94" s="1">
        <v>489.42</v>
      </c>
      <c r="U94" s="1">
        <f t="shared" si="39"/>
        <v>122.355</v>
      </c>
      <c r="V94" s="1">
        <f t="shared" si="40"/>
        <v>3058.875</v>
      </c>
      <c r="W94" s="1">
        <v>1139.76</v>
      </c>
      <c r="X94" s="1">
        <f t="shared" si="41"/>
        <v>284.94</v>
      </c>
      <c r="Y94" s="1">
        <f t="shared" si="42"/>
        <v>854.81999999999994</v>
      </c>
      <c r="Z94" s="1">
        <v>35.72</v>
      </c>
      <c r="AA94" s="1">
        <f t="shared" si="43"/>
        <v>8.93</v>
      </c>
      <c r="AB94" s="1">
        <f t="shared" si="44"/>
        <v>26.79</v>
      </c>
      <c r="AC94" s="1">
        <v>5.95</v>
      </c>
      <c r="AD94" s="1">
        <f t="shared" si="45"/>
        <v>1.4875</v>
      </c>
      <c r="AE94" s="1">
        <f t="shared" si="46"/>
        <v>84.787500000000009</v>
      </c>
      <c r="AF94" s="1">
        <v>5566.58</v>
      </c>
      <c r="AG94" s="1">
        <f t="shared" si="47"/>
        <v>1391.645</v>
      </c>
      <c r="AH94" s="1">
        <f t="shared" si="48"/>
        <v>13916.45</v>
      </c>
      <c r="AI94" s="1">
        <v>15268.41</v>
      </c>
      <c r="AJ94" s="1">
        <f t="shared" si="49"/>
        <v>3817.1025</v>
      </c>
      <c r="AK94" s="5">
        <f t="shared" si="50"/>
        <v>68707.845000000001</v>
      </c>
      <c r="AL94" s="6">
        <f t="shared" si="51"/>
        <v>12551.197499999998</v>
      </c>
      <c r="AM94" s="6">
        <f t="shared" si="51"/>
        <v>5302877.55</v>
      </c>
      <c r="AN94" s="6">
        <f t="shared" si="52"/>
        <v>422.49972960747374</v>
      </c>
      <c r="AO94" s="6">
        <f t="shared" si="53"/>
        <v>0.42249972960747373</v>
      </c>
    </row>
    <row r="95" spans="1:41" ht="14" x14ac:dyDescent="0.15">
      <c r="A95" s="1" t="s">
        <v>92</v>
      </c>
      <c r="B95" s="1">
        <v>4217.0200000000004</v>
      </c>
      <c r="C95" s="1">
        <f t="shared" si="27"/>
        <v>1054.2550000000001</v>
      </c>
      <c r="D95" s="1">
        <f t="shared" si="28"/>
        <v>293082.89</v>
      </c>
      <c r="E95" s="1">
        <v>9250.5</v>
      </c>
      <c r="F95" s="1">
        <f t="shared" si="29"/>
        <v>2312.625</v>
      </c>
      <c r="G95" s="1">
        <f t="shared" si="30"/>
        <v>2604015.75</v>
      </c>
      <c r="H95" s="1">
        <v>7938.95</v>
      </c>
      <c r="I95" s="1">
        <f t="shared" si="31"/>
        <v>1984.7375</v>
      </c>
      <c r="J95" s="1">
        <f t="shared" si="32"/>
        <v>867330.28749999998</v>
      </c>
      <c r="K95" s="1">
        <v>5720.57</v>
      </c>
      <c r="L95" s="1">
        <f t="shared" si="33"/>
        <v>1430.1424999999999</v>
      </c>
      <c r="M95" s="1">
        <f t="shared" si="34"/>
        <v>1348624.3774999999</v>
      </c>
      <c r="N95" s="1">
        <v>342.17</v>
      </c>
      <c r="O95" s="1">
        <f t="shared" si="35"/>
        <v>85.542500000000004</v>
      </c>
      <c r="P95" s="1">
        <f t="shared" si="36"/>
        <v>79468.982499999998</v>
      </c>
      <c r="Q95" s="1">
        <v>33.049999999999997</v>
      </c>
      <c r="R95" s="1">
        <f t="shared" si="37"/>
        <v>8.2624999999999993</v>
      </c>
      <c r="S95" s="1">
        <f t="shared" si="38"/>
        <v>1338.5249999999999</v>
      </c>
      <c r="T95" s="1">
        <v>789.11</v>
      </c>
      <c r="U95" s="1">
        <f t="shared" si="39"/>
        <v>197.2775</v>
      </c>
      <c r="V95" s="1">
        <f t="shared" si="40"/>
        <v>4931.9375</v>
      </c>
      <c r="W95" s="1">
        <v>1107.6500000000001</v>
      </c>
      <c r="X95" s="1">
        <f t="shared" si="41"/>
        <v>276.91250000000002</v>
      </c>
      <c r="Y95" s="1">
        <f t="shared" si="42"/>
        <v>830.73750000000007</v>
      </c>
      <c r="Z95" s="1">
        <v>151</v>
      </c>
      <c r="AA95" s="1">
        <f t="shared" si="43"/>
        <v>37.75</v>
      </c>
      <c r="AB95" s="1">
        <f t="shared" si="44"/>
        <v>113.25</v>
      </c>
      <c r="AC95" s="1">
        <v>7.73</v>
      </c>
      <c r="AD95" s="1">
        <f t="shared" si="45"/>
        <v>1.9325000000000001</v>
      </c>
      <c r="AE95" s="1">
        <f t="shared" si="46"/>
        <v>110.1525</v>
      </c>
      <c r="AF95" s="1">
        <v>5445.31</v>
      </c>
      <c r="AG95" s="1">
        <f t="shared" si="47"/>
        <v>1361.3275000000001</v>
      </c>
      <c r="AH95" s="1">
        <f t="shared" si="48"/>
        <v>13613.275000000001</v>
      </c>
      <c r="AI95" s="1">
        <v>15016.41</v>
      </c>
      <c r="AJ95" s="1">
        <f t="shared" si="49"/>
        <v>3754.1025</v>
      </c>
      <c r="AK95" s="5">
        <f t="shared" si="50"/>
        <v>67573.845000000001</v>
      </c>
      <c r="AL95" s="6">
        <f t="shared" si="51"/>
        <v>12504.8675</v>
      </c>
      <c r="AM95" s="6">
        <f t="shared" si="51"/>
        <v>5281034.01</v>
      </c>
      <c r="AN95" s="6">
        <f t="shared" si="52"/>
        <v>422.3182700656364</v>
      </c>
      <c r="AO95" s="6">
        <f t="shared" si="53"/>
        <v>0.42231827006563638</v>
      </c>
    </row>
    <row r="96" spans="1:41" ht="14" x14ac:dyDescent="0.15">
      <c r="A96" s="1" t="s">
        <v>93</v>
      </c>
      <c r="B96" s="1">
        <v>4170.58</v>
      </c>
      <c r="C96" s="1">
        <f t="shared" si="27"/>
        <v>1042.645</v>
      </c>
      <c r="D96" s="1">
        <f t="shared" si="28"/>
        <v>289855.31</v>
      </c>
      <c r="E96" s="1">
        <v>9252.01</v>
      </c>
      <c r="F96" s="1">
        <f t="shared" si="29"/>
        <v>2313.0025000000001</v>
      </c>
      <c r="G96" s="1">
        <f t="shared" si="30"/>
        <v>2604440.8149999999</v>
      </c>
      <c r="H96" s="1">
        <v>7872.31</v>
      </c>
      <c r="I96" s="1">
        <f t="shared" si="31"/>
        <v>1968.0775000000001</v>
      </c>
      <c r="J96" s="1">
        <f t="shared" si="32"/>
        <v>860049.86750000005</v>
      </c>
      <c r="K96" s="1">
        <v>5661.96</v>
      </c>
      <c r="L96" s="1">
        <f t="shared" si="33"/>
        <v>1415.49</v>
      </c>
      <c r="M96" s="1">
        <f t="shared" si="34"/>
        <v>1334807.07</v>
      </c>
      <c r="N96" s="1">
        <v>342.17</v>
      </c>
      <c r="O96" s="1">
        <f t="shared" si="35"/>
        <v>85.542500000000004</v>
      </c>
      <c r="P96" s="1">
        <f t="shared" si="36"/>
        <v>79468.982499999998</v>
      </c>
      <c r="Q96" s="1">
        <v>33.4</v>
      </c>
      <c r="R96" s="1">
        <f t="shared" si="37"/>
        <v>8.35</v>
      </c>
      <c r="S96" s="1">
        <f t="shared" si="38"/>
        <v>1352.7</v>
      </c>
      <c r="T96" s="1">
        <v>478.27</v>
      </c>
      <c r="U96" s="1">
        <f t="shared" si="39"/>
        <v>119.5675</v>
      </c>
      <c r="V96" s="1">
        <f t="shared" si="40"/>
        <v>2989.1875</v>
      </c>
      <c r="W96" s="1">
        <v>1113.4000000000001</v>
      </c>
      <c r="X96" s="1">
        <f t="shared" si="41"/>
        <v>278.35000000000002</v>
      </c>
      <c r="Y96" s="1">
        <f t="shared" si="42"/>
        <v>835.05000000000007</v>
      </c>
      <c r="Z96" s="1">
        <v>97.56</v>
      </c>
      <c r="AA96" s="1">
        <f t="shared" si="43"/>
        <v>24.39</v>
      </c>
      <c r="AB96" s="1">
        <f t="shared" si="44"/>
        <v>73.17</v>
      </c>
      <c r="AC96" s="1">
        <v>7.42</v>
      </c>
      <c r="AD96" s="1">
        <f t="shared" si="45"/>
        <v>1.855</v>
      </c>
      <c r="AE96" s="1">
        <f t="shared" si="46"/>
        <v>105.735</v>
      </c>
      <c r="AF96" s="1">
        <v>5257.79</v>
      </c>
      <c r="AG96" s="1">
        <f t="shared" si="47"/>
        <v>1314.4475</v>
      </c>
      <c r="AH96" s="1">
        <f t="shared" si="48"/>
        <v>13144.475</v>
      </c>
      <c r="AI96" s="1">
        <v>15094.43</v>
      </c>
      <c r="AJ96" s="1">
        <f t="shared" si="49"/>
        <v>3773.6075000000001</v>
      </c>
      <c r="AK96" s="5">
        <f t="shared" si="50"/>
        <v>67924.934999999998</v>
      </c>
      <c r="AL96" s="6">
        <f t="shared" si="51"/>
        <v>12345.325000000001</v>
      </c>
      <c r="AM96" s="6">
        <f t="shared" si="51"/>
        <v>5255047.2974999994</v>
      </c>
      <c r="AN96" s="6">
        <f t="shared" si="52"/>
        <v>425.67103721449206</v>
      </c>
      <c r="AO96" s="6">
        <f t="shared" si="53"/>
        <v>0.42567103721449207</v>
      </c>
    </row>
    <row r="97" spans="1:41" ht="14" x14ac:dyDescent="0.15">
      <c r="A97" s="1" t="s">
        <v>94</v>
      </c>
      <c r="B97" s="1">
        <v>4142.91</v>
      </c>
      <c r="C97" s="1">
        <f t="shared" si="27"/>
        <v>1035.7275</v>
      </c>
      <c r="D97" s="1">
        <f t="shared" si="28"/>
        <v>287932.245</v>
      </c>
      <c r="E97" s="1">
        <v>9256.59</v>
      </c>
      <c r="F97" s="1">
        <f t="shared" si="29"/>
        <v>2314.1475</v>
      </c>
      <c r="G97" s="1">
        <f t="shared" si="30"/>
        <v>2605730.085</v>
      </c>
      <c r="H97" s="1">
        <v>7808.05</v>
      </c>
      <c r="I97" s="1">
        <f t="shared" si="31"/>
        <v>1952.0125</v>
      </c>
      <c r="J97" s="1">
        <f t="shared" si="32"/>
        <v>853029.46250000002</v>
      </c>
      <c r="K97" s="1">
        <v>5619.97</v>
      </c>
      <c r="L97" s="1">
        <f t="shared" si="33"/>
        <v>1404.9925000000001</v>
      </c>
      <c r="M97" s="1">
        <f t="shared" si="34"/>
        <v>1324907.9275</v>
      </c>
      <c r="N97" s="1">
        <v>342.17</v>
      </c>
      <c r="O97" s="1">
        <f t="shared" si="35"/>
        <v>85.542500000000004</v>
      </c>
      <c r="P97" s="1">
        <f t="shared" si="36"/>
        <v>79468.982499999998</v>
      </c>
      <c r="Q97" s="1">
        <v>33.549999999999997</v>
      </c>
      <c r="R97" s="1">
        <f t="shared" si="37"/>
        <v>8.3874999999999993</v>
      </c>
      <c r="S97" s="1">
        <f t="shared" si="38"/>
        <v>1358.7749999999999</v>
      </c>
      <c r="T97" s="1">
        <v>344.05</v>
      </c>
      <c r="U97" s="1">
        <f t="shared" si="39"/>
        <v>86.012500000000003</v>
      </c>
      <c r="V97" s="1">
        <f t="shared" si="40"/>
        <v>2150.3125</v>
      </c>
      <c r="W97" s="1">
        <v>1108.06</v>
      </c>
      <c r="X97" s="1">
        <f t="shared" si="41"/>
        <v>277.01499999999999</v>
      </c>
      <c r="Y97" s="1">
        <f t="shared" si="42"/>
        <v>831.04499999999996</v>
      </c>
      <c r="Z97" s="1">
        <v>70.930000000000007</v>
      </c>
      <c r="AA97" s="1">
        <f t="shared" si="43"/>
        <v>17.732500000000002</v>
      </c>
      <c r="AB97" s="1">
        <f t="shared" si="44"/>
        <v>53.197500000000005</v>
      </c>
      <c r="AC97" s="1">
        <v>5.52</v>
      </c>
      <c r="AD97" s="1">
        <f t="shared" si="45"/>
        <v>1.38</v>
      </c>
      <c r="AE97" s="1">
        <f t="shared" si="46"/>
        <v>78.66</v>
      </c>
      <c r="AF97" s="1">
        <v>4938.5</v>
      </c>
      <c r="AG97" s="1">
        <f t="shared" si="47"/>
        <v>1234.625</v>
      </c>
      <c r="AH97" s="1">
        <f t="shared" si="48"/>
        <v>12346.25</v>
      </c>
      <c r="AI97" s="1">
        <v>14934.68</v>
      </c>
      <c r="AJ97" s="1">
        <f t="shared" si="49"/>
        <v>3733.67</v>
      </c>
      <c r="AK97" s="5">
        <f t="shared" si="50"/>
        <v>67206.06</v>
      </c>
      <c r="AL97" s="6">
        <f t="shared" si="51"/>
        <v>12151.245000000001</v>
      </c>
      <c r="AM97" s="6">
        <f t="shared" si="51"/>
        <v>5235093.0024999995</v>
      </c>
      <c r="AN97" s="6">
        <f t="shared" si="52"/>
        <v>430.82770551494923</v>
      </c>
      <c r="AO97" s="6">
        <f t="shared" si="53"/>
        <v>0.43082770551494926</v>
      </c>
    </row>
    <row r="98" spans="1:41" ht="14" x14ac:dyDescent="0.15">
      <c r="A98" s="1" t="s">
        <v>95</v>
      </c>
      <c r="B98" s="1">
        <v>4126.58</v>
      </c>
      <c r="C98" s="1">
        <f t="shared" si="27"/>
        <v>1031.645</v>
      </c>
      <c r="D98" s="1">
        <f t="shared" si="28"/>
        <v>286797.31</v>
      </c>
      <c r="E98" s="1">
        <v>9268.85</v>
      </c>
      <c r="F98" s="1">
        <f t="shared" si="29"/>
        <v>2317.2125000000001</v>
      </c>
      <c r="G98" s="1">
        <f t="shared" si="30"/>
        <v>2609181.2749999999</v>
      </c>
      <c r="H98" s="1">
        <v>7281.67</v>
      </c>
      <c r="I98" s="1">
        <f t="shared" si="31"/>
        <v>1820.4175</v>
      </c>
      <c r="J98" s="1">
        <f t="shared" si="32"/>
        <v>795522.44750000001</v>
      </c>
      <c r="K98" s="1">
        <v>5578.76</v>
      </c>
      <c r="L98" s="1">
        <f t="shared" si="33"/>
        <v>1394.69</v>
      </c>
      <c r="M98" s="1">
        <f t="shared" si="34"/>
        <v>1315192.6700000002</v>
      </c>
      <c r="N98" s="1">
        <v>342.17</v>
      </c>
      <c r="O98" s="1">
        <f t="shared" si="35"/>
        <v>85.542500000000004</v>
      </c>
      <c r="P98" s="1">
        <f t="shared" si="36"/>
        <v>79468.982499999998</v>
      </c>
      <c r="Q98" s="1">
        <v>33.51</v>
      </c>
      <c r="R98" s="1">
        <f t="shared" si="37"/>
        <v>8.3774999999999995</v>
      </c>
      <c r="S98" s="1">
        <f t="shared" si="38"/>
        <v>1357.155</v>
      </c>
      <c r="T98" s="1">
        <v>161.08000000000001</v>
      </c>
      <c r="U98" s="1">
        <f t="shared" si="39"/>
        <v>40.270000000000003</v>
      </c>
      <c r="V98" s="1">
        <f t="shared" si="40"/>
        <v>1006.7500000000001</v>
      </c>
      <c r="W98" s="1">
        <v>1091.8499999999999</v>
      </c>
      <c r="X98" s="1">
        <f t="shared" si="41"/>
        <v>272.96249999999998</v>
      </c>
      <c r="Y98" s="1">
        <f t="shared" si="42"/>
        <v>818.88749999999993</v>
      </c>
      <c r="Z98" s="1">
        <v>18.93</v>
      </c>
      <c r="AA98" s="1">
        <f t="shared" si="43"/>
        <v>4.7324999999999999</v>
      </c>
      <c r="AB98" s="1">
        <f t="shared" si="44"/>
        <v>14.1975</v>
      </c>
      <c r="AC98" s="1">
        <v>5.63</v>
      </c>
      <c r="AD98" s="1">
        <f t="shared" si="45"/>
        <v>1.4075</v>
      </c>
      <c r="AE98" s="1">
        <f t="shared" si="46"/>
        <v>80.227499999999992</v>
      </c>
      <c r="AF98" s="1">
        <v>4769.97</v>
      </c>
      <c r="AG98" s="1">
        <f t="shared" si="47"/>
        <v>1192.4925000000001</v>
      </c>
      <c r="AH98" s="1">
        <f t="shared" si="48"/>
        <v>11924.925000000001</v>
      </c>
      <c r="AI98" s="1">
        <v>14596.65</v>
      </c>
      <c r="AJ98" s="1">
        <f t="shared" si="49"/>
        <v>3649.1624999999999</v>
      </c>
      <c r="AK98" s="5">
        <f t="shared" si="50"/>
        <v>65684.925000000003</v>
      </c>
      <c r="AL98" s="6">
        <f t="shared" si="51"/>
        <v>11818.9125</v>
      </c>
      <c r="AM98" s="6">
        <f t="shared" si="51"/>
        <v>5167049.7524999995</v>
      </c>
      <c r="AN98" s="6">
        <f t="shared" si="52"/>
        <v>437.18487233914283</v>
      </c>
      <c r="AO98" s="6">
        <f t="shared" si="53"/>
        <v>0.43718487233914283</v>
      </c>
    </row>
    <row r="99" spans="1:41" ht="14" x14ac:dyDescent="0.15">
      <c r="A99" s="1" t="s">
        <v>96</v>
      </c>
      <c r="B99" s="1">
        <v>3990.85</v>
      </c>
      <c r="C99" s="1">
        <f t="shared" si="27"/>
        <v>997.71249999999998</v>
      </c>
      <c r="D99" s="1">
        <f t="shared" si="28"/>
        <v>277364.07500000001</v>
      </c>
      <c r="E99" s="1">
        <v>9247.9</v>
      </c>
      <c r="F99" s="1">
        <f t="shared" si="29"/>
        <v>2311.9749999999999</v>
      </c>
      <c r="G99" s="1">
        <f t="shared" si="30"/>
        <v>2603283.85</v>
      </c>
      <c r="H99" s="1">
        <v>6959.19</v>
      </c>
      <c r="I99" s="1">
        <f t="shared" si="31"/>
        <v>1739.7974999999999</v>
      </c>
      <c r="J99" s="1">
        <f t="shared" si="32"/>
        <v>760291.50749999995</v>
      </c>
      <c r="K99" s="1">
        <v>5573.26</v>
      </c>
      <c r="L99" s="1">
        <f t="shared" si="33"/>
        <v>1393.3150000000001</v>
      </c>
      <c r="M99" s="1">
        <f t="shared" si="34"/>
        <v>1313896.0450000002</v>
      </c>
      <c r="N99" s="1">
        <v>342.3</v>
      </c>
      <c r="O99" s="1">
        <f t="shared" si="35"/>
        <v>85.575000000000003</v>
      </c>
      <c r="P99" s="1">
        <f t="shared" si="36"/>
        <v>79499.175000000003</v>
      </c>
      <c r="Q99" s="1">
        <v>33.590000000000003</v>
      </c>
      <c r="R99" s="1">
        <f t="shared" si="37"/>
        <v>8.3975000000000009</v>
      </c>
      <c r="S99" s="1">
        <f t="shared" si="38"/>
        <v>1360.3950000000002</v>
      </c>
      <c r="T99" s="1">
        <v>214.83</v>
      </c>
      <c r="U99" s="1">
        <f t="shared" si="39"/>
        <v>53.707500000000003</v>
      </c>
      <c r="V99" s="1">
        <f t="shared" si="40"/>
        <v>1342.6875</v>
      </c>
      <c r="W99" s="1">
        <v>1100.8800000000001</v>
      </c>
      <c r="X99" s="1">
        <f t="shared" si="41"/>
        <v>275.22000000000003</v>
      </c>
      <c r="Y99" s="1">
        <f t="shared" si="42"/>
        <v>825.66000000000008</v>
      </c>
      <c r="Z99" s="1">
        <v>45.71</v>
      </c>
      <c r="AA99" s="1">
        <f t="shared" si="43"/>
        <v>11.4275</v>
      </c>
      <c r="AB99" s="1">
        <f t="shared" si="44"/>
        <v>34.282499999999999</v>
      </c>
      <c r="AC99" s="1">
        <v>7.21</v>
      </c>
      <c r="AD99" s="1">
        <f t="shared" si="45"/>
        <v>1.8025</v>
      </c>
      <c r="AE99" s="1">
        <f t="shared" si="46"/>
        <v>102.74249999999999</v>
      </c>
      <c r="AF99" s="1">
        <v>4486.21</v>
      </c>
      <c r="AG99" s="1">
        <f t="shared" si="47"/>
        <v>1121.5525</v>
      </c>
      <c r="AH99" s="1">
        <f t="shared" si="48"/>
        <v>11215.525</v>
      </c>
      <c r="AI99" s="1">
        <v>14341.51</v>
      </c>
      <c r="AJ99" s="1">
        <f t="shared" si="49"/>
        <v>3585.3775000000001</v>
      </c>
      <c r="AK99" s="5">
        <f t="shared" si="50"/>
        <v>64536.794999999998</v>
      </c>
      <c r="AL99" s="6">
        <f t="shared" si="51"/>
        <v>11585.859999999999</v>
      </c>
      <c r="AM99" s="6">
        <f t="shared" si="51"/>
        <v>5113752.7399999993</v>
      </c>
      <c r="AN99" s="6">
        <f t="shared" si="52"/>
        <v>441.37877895987003</v>
      </c>
      <c r="AO99" s="6">
        <f t="shared" si="53"/>
        <v>0.44137877895987004</v>
      </c>
    </row>
    <row r="100" spans="1:41" ht="14" x14ac:dyDescent="0.15">
      <c r="A100" s="1" t="s">
        <v>97</v>
      </c>
      <c r="B100" s="1">
        <v>3974.6</v>
      </c>
      <c r="C100" s="1">
        <f t="shared" si="27"/>
        <v>993.65</v>
      </c>
      <c r="D100" s="1">
        <f t="shared" si="28"/>
        <v>276234.7</v>
      </c>
      <c r="E100" s="1">
        <v>9250.4699999999993</v>
      </c>
      <c r="F100" s="1">
        <f t="shared" si="29"/>
        <v>2312.6174999999998</v>
      </c>
      <c r="G100" s="1">
        <f t="shared" si="30"/>
        <v>2604007.3049999997</v>
      </c>
      <c r="H100" s="1">
        <v>6951.59</v>
      </c>
      <c r="I100" s="1">
        <f t="shared" si="31"/>
        <v>1737.8975</v>
      </c>
      <c r="J100" s="1">
        <f t="shared" si="32"/>
        <v>759461.20750000002</v>
      </c>
      <c r="K100" s="1">
        <v>5608.9</v>
      </c>
      <c r="L100" s="1">
        <f t="shared" si="33"/>
        <v>1402.2249999999999</v>
      </c>
      <c r="M100" s="1">
        <f t="shared" si="34"/>
        <v>1322298.1749999998</v>
      </c>
      <c r="N100" s="1">
        <v>342.17</v>
      </c>
      <c r="O100" s="1">
        <f t="shared" si="35"/>
        <v>85.542500000000004</v>
      </c>
      <c r="P100" s="1">
        <f t="shared" si="36"/>
        <v>79468.982499999998</v>
      </c>
      <c r="Q100" s="1">
        <v>33.69</v>
      </c>
      <c r="R100" s="1">
        <f t="shared" si="37"/>
        <v>8.4224999999999994</v>
      </c>
      <c r="S100" s="1">
        <f t="shared" si="38"/>
        <v>1364.4449999999999</v>
      </c>
      <c r="T100" s="1">
        <v>186.12</v>
      </c>
      <c r="U100" s="1">
        <f t="shared" si="39"/>
        <v>46.53</v>
      </c>
      <c r="V100" s="1">
        <f t="shared" si="40"/>
        <v>1163.25</v>
      </c>
      <c r="W100" s="1">
        <v>1095.6600000000001</v>
      </c>
      <c r="X100" s="1">
        <f t="shared" si="41"/>
        <v>273.91500000000002</v>
      </c>
      <c r="Y100" s="1">
        <f t="shared" si="42"/>
        <v>821.74500000000012</v>
      </c>
      <c r="Z100" s="1">
        <v>39.04</v>
      </c>
      <c r="AA100" s="1">
        <f t="shared" si="43"/>
        <v>9.76</v>
      </c>
      <c r="AB100" s="1">
        <f t="shared" si="44"/>
        <v>29.28</v>
      </c>
      <c r="AC100" s="1">
        <v>5.28</v>
      </c>
      <c r="AD100" s="1">
        <f t="shared" si="45"/>
        <v>1.32</v>
      </c>
      <c r="AE100" s="1">
        <f t="shared" si="46"/>
        <v>75.240000000000009</v>
      </c>
      <c r="AF100" s="1">
        <v>4355.07</v>
      </c>
      <c r="AG100" s="1">
        <f t="shared" si="47"/>
        <v>1088.7674999999999</v>
      </c>
      <c r="AH100" s="1">
        <f t="shared" si="48"/>
        <v>10887.674999999999</v>
      </c>
      <c r="AI100" s="1">
        <v>14227.43</v>
      </c>
      <c r="AJ100" s="1">
        <f t="shared" si="49"/>
        <v>3556.8575000000001</v>
      </c>
      <c r="AK100" s="5">
        <f t="shared" si="50"/>
        <v>64023.434999999998</v>
      </c>
      <c r="AL100" s="6">
        <f t="shared" si="51"/>
        <v>11517.504999999997</v>
      </c>
      <c r="AM100" s="6">
        <f t="shared" si="51"/>
        <v>5119835.4399999995</v>
      </c>
      <c r="AN100" s="6">
        <f t="shared" si="52"/>
        <v>444.52643519581721</v>
      </c>
      <c r="AO100" s="6">
        <f t="shared" si="53"/>
        <v>0.44452643519581719</v>
      </c>
    </row>
    <row r="101" spans="1:41" ht="14" x14ac:dyDescent="0.15">
      <c r="A101" s="1" t="s">
        <v>98</v>
      </c>
      <c r="B101" s="1">
        <v>3949.21</v>
      </c>
      <c r="C101" s="1">
        <f t="shared" si="27"/>
        <v>987.30250000000001</v>
      </c>
      <c r="D101" s="1">
        <f t="shared" si="28"/>
        <v>274470.09500000003</v>
      </c>
      <c r="E101" s="1">
        <v>9184.84</v>
      </c>
      <c r="F101" s="1">
        <f t="shared" si="29"/>
        <v>2296.21</v>
      </c>
      <c r="G101" s="1">
        <f t="shared" si="30"/>
        <v>2585532.46</v>
      </c>
      <c r="H101" s="1">
        <v>6835.74</v>
      </c>
      <c r="I101" s="1">
        <f t="shared" si="31"/>
        <v>1708.9349999999999</v>
      </c>
      <c r="J101" s="1">
        <f t="shared" si="32"/>
        <v>746804.59499999997</v>
      </c>
      <c r="K101" s="1">
        <v>5595.33</v>
      </c>
      <c r="L101" s="1">
        <f t="shared" si="33"/>
        <v>1398.8325</v>
      </c>
      <c r="M101" s="1">
        <f t="shared" si="34"/>
        <v>1319099.0474999999</v>
      </c>
      <c r="N101" s="1">
        <v>342.17</v>
      </c>
      <c r="O101" s="1">
        <f t="shared" si="35"/>
        <v>85.542500000000004</v>
      </c>
      <c r="P101" s="1">
        <f t="shared" si="36"/>
        <v>79468.982499999998</v>
      </c>
      <c r="Q101" s="1">
        <v>33.68</v>
      </c>
      <c r="R101" s="1">
        <f t="shared" si="37"/>
        <v>8.42</v>
      </c>
      <c r="S101" s="1">
        <f t="shared" si="38"/>
        <v>1364.04</v>
      </c>
      <c r="T101" s="1">
        <v>96.36</v>
      </c>
      <c r="U101" s="1">
        <f t="shared" si="39"/>
        <v>24.09</v>
      </c>
      <c r="V101" s="1">
        <f t="shared" si="40"/>
        <v>602.25</v>
      </c>
      <c r="W101" s="1">
        <v>1096.18</v>
      </c>
      <c r="X101" s="1">
        <f t="shared" si="41"/>
        <v>274.04500000000002</v>
      </c>
      <c r="Y101" s="1">
        <f t="shared" si="42"/>
        <v>822.13499999999999</v>
      </c>
      <c r="Z101" s="1">
        <v>31.57</v>
      </c>
      <c r="AA101" s="1">
        <f t="shared" si="43"/>
        <v>7.8925000000000001</v>
      </c>
      <c r="AB101" s="1">
        <f t="shared" si="44"/>
        <v>23.677500000000002</v>
      </c>
      <c r="AC101" s="1">
        <v>5.26</v>
      </c>
      <c r="AD101" s="1">
        <f t="shared" si="45"/>
        <v>1.3149999999999999</v>
      </c>
      <c r="AE101" s="1">
        <f t="shared" si="46"/>
        <v>74.954999999999998</v>
      </c>
      <c r="AF101" s="1">
        <v>4287.93</v>
      </c>
      <c r="AG101" s="1">
        <f t="shared" si="47"/>
        <v>1071.9825000000001</v>
      </c>
      <c r="AH101" s="1">
        <f t="shared" si="48"/>
        <v>10719.825000000001</v>
      </c>
      <c r="AI101" s="1">
        <v>14031.89</v>
      </c>
      <c r="AJ101" s="1">
        <f t="shared" si="49"/>
        <v>3507.9724999999999</v>
      </c>
      <c r="AK101" s="5">
        <f t="shared" si="50"/>
        <v>63143.504999999997</v>
      </c>
      <c r="AL101" s="6">
        <f t="shared" si="51"/>
        <v>11372.54</v>
      </c>
      <c r="AM101" s="6">
        <f t="shared" si="51"/>
        <v>5082125.5674999999</v>
      </c>
      <c r="AN101" s="6">
        <f t="shared" si="52"/>
        <v>446.87691294117229</v>
      </c>
      <c r="AO101" s="6">
        <f t="shared" si="53"/>
        <v>0.44687691294117227</v>
      </c>
    </row>
    <row r="102" spans="1:41" ht="14" x14ac:dyDescent="0.15">
      <c r="A102" s="1" t="s">
        <v>99</v>
      </c>
      <c r="B102" s="1">
        <v>3928.95</v>
      </c>
      <c r="C102" s="1">
        <f t="shared" si="27"/>
        <v>982.23749999999995</v>
      </c>
      <c r="D102" s="1">
        <f t="shared" si="28"/>
        <v>273062.02499999997</v>
      </c>
      <c r="E102" s="1">
        <v>9177.5</v>
      </c>
      <c r="F102" s="1">
        <f t="shared" si="29"/>
        <v>2294.375</v>
      </c>
      <c r="G102" s="1">
        <f t="shared" si="30"/>
        <v>2583466.25</v>
      </c>
      <c r="H102" s="1">
        <v>6695.91</v>
      </c>
      <c r="I102" s="1">
        <f t="shared" si="31"/>
        <v>1673.9775</v>
      </c>
      <c r="J102" s="1">
        <f t="shared" si="32"/>
        <v>731528.16749999998</v>
      </c>
      <c r="K102" s="1">
        <v>5595.87</v>
      </c>
      <c r="L102" s="1">
        <f t="shared" si="33"/>
        <v>1398.9675</v>
      </c>
      <c r="M102" s="1">
        <f t="shared" si="34"/>
        <v>1319226.3525</v>
      </c>
      <c r="N102" s="1">
        <v>342.17</v>
      </c>
      <c r="O102" s="1">
        <f t="shared" si="35"/>
        <v>85.542500000000004</v>
      </c>
      <c r="P102" s="1">
        <f t="shared" si="36"/>
        <v>79468.982499999998</v>
      </c>
      <c r="Q102" s="1">
        <v>33.72</v>
      </c>
      <c r="R102" s="1">
        <f t="shared" si="37"/>
        <v>8.43</v>
      </c>
      <c r="S102" s="1">
        <f t="shared" si="38"/>
        <v>1365.6599999999999</v>
      </c>
      <c r="T102" s="1">
        <v>75.75</v>
      </c>
      <c r="U102" s="1">
        <f t="shared" si="39"/>
        <v>18.9375</v>
      </c>
      <c r="V102" s="1">
        <f t="shared" si="40"/>
        <v>473.4375</v>
      </c>
      <c r="W102" s="1">
        <v>1088.08</v>
      </c>
      <c r="X102" s="1">
        <f t="shared" si="41"/>
        <v>272.02</v>
      </c>
      <c r="Y102" s="1">
        <f t="shared" si="42"/>
        <v>816.06</v>
      </c>
      <c r="Z102" s="1">
        <v>26.76</v>
      </c>
      <c r="AA102" s="1">
        <f t="shared" si="43"/>
        <v>6.69</v>
      </c>
      <c r="AB102" s="1">
        <f t="shared" si="44"/>
        <v>20.07</v>
      </c>
      <c r="AC102" s="1">
        <v>5.2</v>
      </c>
      <c r="AD102" s="1">
        <f t="shared" si="45"/>
        <v>1.3</v>
      </c>
      <c r="AE102" s="1">
        <f t="shared" si="46"/>
        <v>74.100000000000009</v>
      </c>
      <c r="AF102" s="1">
        <v>4363.58</v>
      </c>
      <c r="AG102" s="1">
        <f t="shared" si="47"/>
        <v>1090.895</v>
      </c>
      <c r="AH102" s="1">
        <f t="shared" si="48"/>
        <v>10908.95</v>
      </c>
      <c r="AI102" s="1">
        <v>13762.49</v>
      </c>
      <c r="AJ102" s="1">
        <f t="shared" si="49"/>
        <v>3440.6224999999999</v>
      </c>
      <c r="AK102" s="5">
        <f t="shared" si="50"/>
        <v>61931.205000000002</v>
      </c>
      <c r="AL102" s="6">
        <f t="shared" si="51"/>
        <v>11273.994999999999</v>
      </c>
      <c r="AM102" s="6">
        <f t="shared" si="51"/>
        <v>5062341.26</v>
      </c>
      <c r="AN102" s="6">
        <f t="shared" si="52"/>
        <v>449.02816259897224</v>
      </c>
      <c r="AO102" s="6">
        <f t="shared" si="53"/>
        <v>0.44902816259897227</v>
      </c>
    </row>
  </sheetData>
  <mergeCells count="17">
    <mergeCell ref="AI5:AK5"/>
    <mergeCell ref="AL5:AP5"/>
    <mergeCell ref="A1:B1"/>
    <mergeCell ref="A2:B2"/>
    <mergeCell ref="A3:B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Markus Wörle</cp:lastModifiedBy>
  <dcterms:created xsi:type="dcterms:W3CDTF">2014-03-04T15:49:50Z</dcterms:created>
  <dcterms:modified xsi:type="dcterms:W3CDTF">2026-01-24T18:38:03Z</dcterms:modified>
</cp:coreProperties>
</file>